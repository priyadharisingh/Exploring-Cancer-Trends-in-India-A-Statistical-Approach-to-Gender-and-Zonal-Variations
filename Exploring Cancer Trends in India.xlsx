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 Dhari Singh\Downloads\"/>
    </mc:Choice>
  </mc:AlternateContent>
  <xr:revisionPtr revIDLastSave="0" documentId="13_ncr:1_{4232EF39-1830-4FD1-875C-69BE34471614}" xr6:coauthVersionLast="47" xr6:coauthVersionMax="47" xr10:uidLastSave="{00000000-0000-0000-0000-000000000000}"/>
  <bookViews>
    <workbookView xWindow="-96" yWindow="0" windowWidth="11712" windowHeight="12336" tabRatio="903" firstSheet="8" activeTab="11" xr2:uid="{00000000-000D-0000-FFFF-FFFF00000000}"/>
  </bookViews>
  <sheets>
    <sheet name="NORTH EAST ZONE" sheetId="1" r:id="rId1"/>
    <sheet name="WEST ZONE" sheetId="11" r:id="rId2"/>
    <sheet name="CENTRAL ZONE" sheetId="12" r:id="rId3"/>
    <sheet name="EAST ZONE " sheetId="5" r:id="rId4"/>
    <sheet name="SOUTH ZONE" sheetId="6" r:id="rId5"/>
    <sheet name="North Zone" sheetId="10" r:id="rId6"/>
    <sheet name="Sheet1" sheetId="17" r:id="rId7"/>
    <sheet name="Final Calc" sheetId="9" r:id="rId8"/>
    <sheet name="Sheet2" sheetId="20" r:id="rId9"/>
    <sheet name="zone based testing" sheetId="19" r:id="rId10"/>
    <sheet name="Gender based testing" sheetId="18" r:id="rId11"/>
    <sheet name="Correlation" sheetId="21" r:id="rId12"/>
    <sheet name="Sheet4" sheetId="16" r:id="rId13"/>
    <sheet name="Sheet3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21" l="1"/>
  <c r="F9" i="21"/>
  <c r="H9" i="21"/>
  <c r="G9" i="21"/>
  <c r="H3" i="21"/>
  <c r="H4" i="21"/>
  <c r="H5" i="21"/>
  <c r="H6" i="21"/>
  <c r="H7" i="21"/>
  <c r="H2" i="21"/>
  <c r="G3" i="21"/>
  <c r="G4" i="21"/>
  <c r="G5" i="21"/>
  <c r="G6" i="21"/>
  <c r="G7" i="21"/>
  <c r="G2" i="21"/>
  <c r="F10" i="21"/>
  <c r="F3" i="21"/>
  <c r="F4" i="21"/>
  <c r="F5" i="21"/>
  <c r="F6" i="21"/>
  <c r="F7" i="21"/>
  <c r="F2" i="21"/>
  <c r="E3" i="21"/>
  <c r="E4" i="21"/>
  <c r="E5" i="21"/>
  <c r="E6" i="21"/>
  <c r="E7" i="21"/>
  <c r="E2" i="21"/>
  <c r="D3" i="21"/>
  <c r="D4" i="21"/>
  <c r="D5" i="21"/>
  <c r="D6" i="21"/>
  <c r="D7" i="21"/>
  <c r="D2" i="21"/>
  <c r="C10" i="21"/>
  <c r="B10" i="21"/>
  <c r="C9" i="21"/>
  <c r="B9" i="21"/>
  <c r="J11" i="18"/>
  <c r="B21" i="20"/>
  <c r="D18" i="18"/>
  <c r="C14" i="18"/>
  <c r="D21" i="20"/>
  <c r="D19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2" i="20"/>
  <c r="D5" i="19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2" i="20"/>
  <c r="B20" i="20"/>
  <c r="B19" i="20"/>
  <c r="C14" i="19"/>
  <c r="C18" i="18"/>
  <c r="B18" i="18"/>
  <c r="B17" i="18"/>
  <c r="K65" i="18"/>
  <c r="H58" i="18"/>
  <c r="H57" i="18"/>
  <c r="H64" i="18"/>
  <c r="H63" i="18"/>
  <c r="H62" i="18"/>
  <c r="H61" i="18"/>
  <c r="H60" i="18"/>
  <c r="H59" i="18"/>
  <c r="H56" i="18"/>
  <c r="H55" i="18"/>
  <c r="H54" i="18"/>
  <c r="H53" i="18"/>
  <c r="D53" i="18"/>
  <c r="B66" i="18" s="1"/>
  <c r="D54" i="18"/>
  <c r="D55" i="18"/>
  <c r="D56" i="18"/>
  <c r="D57" i="18"/>
  <c r="B58" i="18"/>
  <c r="D58" i="18" s="1"/>
  <c r="C58" i="18"/>
  <c r="C67" i="18" s="1"/>
  <c r="I58" i="18" s="1"/>
  <c r="J58" i="18" s="1"/>
  <c r="K58" i="18" s="1"/>
  <c r="D52" i="18"/>
  <c r="G9" i="19"/>
  <c r="G8" i="19"/>
  <c r="C7" i="19"/>
  <c r="D7" i="19" s="1"/>
  <c r="B13" i="19"/>
  <c r="B15" i="19" s="1"/>
  <c r="B12" i="19"/>
  <c r="I55" i="18" l="1"/>
  <c r="J55" i="18" s="1"/>
  <c r="K55" i="18" s="1"/>
  <c r="B70" i="18"/>
  <c r="C66" i="18"/>
  <c r="I56" i="18" s="1"/>
  <c r="J56" i="18" s="1"/>
  <c r="K56" i="18" s="1"/>
  <c r="B69" i="18"/>
  <c r="B65" i="18"/>
  <c r="C69" i="18"/>
  <c r="I62" i="18" s="1"/>
  <c r="J62" i="18" s="1"/>
  <c r="K62" i="18" s="1"/>
  <c r="B68" i="18"/>
  <c r="B67" i="18"/>
  <c r="C65" i="18"/>
  <c r="C68" i="18"/>
  <c r="I60" i="18" s="1"/>
  <c r="J60" i="18" s="1"/>
  <c r="K60" i="18" s="1"/>
  <c r="C70" i="18"/>
  <c r="I64" i="18" s="1"/>
  <c r="J64" i="18" s="1"/>
  <c r="K64" i="18" s="1"/>
  <c r="C6" i="19"/>
  <c r="D6" i="19" s="1"/>
  <c r="C8" i="19"/>
  <c r="D8" i="19" s="1"/>
  <c r="C5" i="19"/>
  <c r="C10" i="19"/>
  <c r="D10" i="19" s="1"/>
  <c r="C9" i="19"/>
  <c r="D9" i="19" s="1"/>
  <c r="I59" i="18" l="1"/>
  <c r="J59" i="18" s="1"/>
  <c r="K59" i="18" s="1"/>
  <c r="D68" i="18"/>
  <c r="D65" i="18"/>
  <c r="I53" i="18"/>
  <c r="J53" i="18" s="1"/>
  <c r="K53" i="18" s="1"/>
  <c r="B71" i="18"/>
  <c r="D69" i="18"/>
  <c r="I61" i="18"/>
  <c r="J61" i="18" s="1"/>
  <c r="K61" i="18" s="1"/>
  <c r="D70" i="18"/>
  <c r="I63" i="18"/>
  <c r="J63" i="18" s="1"/>
  <c r="K63" i="18" s="1"/>
  <c r="I54" i="18"/>
  <c r="J54" i="18" s="1"/>
  <c r="K54" i="18" s="1"/>
  <c r="C71" i="18"/>
  <c r="I57" i="18"/>
  <c r="J57" i="18" s="1"/>
  <c r="K57" i="18" s="1"/>
  <c r="D67" i="18"/>
  <c r="D66" i="18"/>
  <c r="B19" i="19"/>
  <c r="D71" i="18" l="1"/>
  <c r="B15" i="18"/>
  <c r="C9" i="18"/>
  <c r="B9" i="18"/>
  <c r="C11" i="18"/>
  <c r="E3" i="18" s="1"/>
  <c r="B11" i="18"/>
  <c r="D2" i="18" s="1"/>
  <c r="C10" i="18"/>
  <c r="B10" i="18"/>
  <c r="G3" i="17"/>
  <c r="G4" i="17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28" i="9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27" i="16"/>
  <c r="K43" i="16"/>
  <c r="J43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27" i="16"/>
  <c r="D27" i="15"/>
  <c r="D26" i="15"/>
  <c r="D25" i="15"/>
  <c r="D24" i="15"/>
  <c r="D23" i="15"/>
  <c r="C27" i="15"/>
  <c r="C26" i="15"/>
  <c r="C25" i="15"/>
  <c r="C24" i="15"/>
  <c r="C23" i="15"/>
  <c r="D22" i="15"/>
  <c r="D28" i="15" s="1"/>
  <c r="C22" i="15"/>
  <c r="E27" i="15"/>
  <c r="E25" i="15"/>
  <c r="E24" i="15"/>
  <c r="E23" i="15"/>
  <c r="D43" i="10"/>
  <c r="D21" i="10"/>
  <c r="J35" i="10"/>
  <c r="J20" i="10"/>
  <c r="J7" i="10"/>
  <c r="J8" i="10"/>
  <c r="J21" i="10"/>
  <c r="J22" i="10"/>
  <c r="K22" i="10" s="1"/>
  <c r="J23" i="10"/>
  <c r="J24" i="10"/>
  <c r="K24" i="10" s="1"/>
  <c r="J25" i="10"/>
  <c r="J26" i="10"/>
  <c r="J27" i="10"/>
  <c r="J28" i="10"/>
  <c r="K28" i="10" s="1"/>
  <c r="J29" i="10"/>
  <c r="K29" i="10" s="1"/>
  <c r="J30" i="10"/>
  <c r="J31" i="10"/>
  <c r="J32" i="10"/>
  <c r="J33" i="10"/>
  <c r="J34" i="10"/>
  <c r="K20" i="10"/>
  <c r="I21" i="10"/>
  <c r="I22" i="10"/>
  <c r="I23" i="10"/>
  <c r="I24" i="10"/>
  <c r="I25" i="10"/>
  <c r="K25" i="10" s="1"/>
  <c r="I26" i="10"/>
  <c r="I27" i="10"/>
  <c r="K27" i="10" s="1"/>
  <c r="I28" i="10"/>
  <c r="I29" i="10"/>
  <c r="I30" i="10"/>
  <c r="I36" i="10" s="1"/>
  <c r="I31" i="10"/>
  <c r="I32" i="10"/>
  <c r="I33" i="10"/>
  <c r="I34" i="10"/>
  <c r="I35" i="10"/>
  <c r="I20" i="10"/>
  <c r="K35" i="10"/>
  <c r="K34" i="10"/>
  <c r="K33" i="10"/>
  <c r="K30" i="10"/>
  <c r="K23" i="10"/>
  <c r="K21" i="10"/>
  <c r="C5" i="9"/>
  <c r="N23" i="6" a="1"/>
  <c r="N23" i="6" s="1"/>
  <c r="N25" i="5"/>
  <c r="H6" i="5"/>
  <c r="L6" i="9"/>
  <c r="L7" i="9"/>
  <c r="L9" i="9"/>
  <c r="B42" i="11"/>
  <c r="D42" i="11"/>
  <c r="I34" i="11" s="1"/>
  <c r="B43" i="11"/>
  <c r="D43" i="11"/>
  <c r="H29" i="11"/>
  <c r="H28" i="11"/>
  <c r="H27" i="11"/>
  <c r="H26" i="11"/>
  <c r="H22" i="11"/>
  <c r="E9" i="9"/>
  <c r="E7" i="9"/>
  <c r="E6" i="9"/>
  <c r="E5" i="9"/>
  <c r="L5" i="9" s="1"/>
  <c r="D9" i="9"/>
  <c r="D7" i="9"/>
  <c r="D6" i="9"/>
  <c r="D5" i="9"/>
  <c r="C9" i="9"/>
  <c r="C8" i="9"/>
  <c r="C7" i="9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18" i="11"/>
  <c r="H19" i="11"/>
  <c r="H20" i="11"/>
  <c r="H21" i="11"/>
  <c r="J21" i="11" s="1"/>
  <c r="H24" i="11"/>
  <c r="J24" i="11" s="1"/>
  <c r="H25" i="11"/>
  <c r="J25" i="11" s="1"/>
  <c r="H30" i="11"/>
  <c r="H31" i="11"/>
  <c r="H32" i="11"/>
  <c r="H33" i="11"/>
  <c r="H34" i="11"/>
  <c r="H18" i="11"/>
  <c r="J10" i="11"/>
  <c r="I10" i="11"/>
  <c r="H11" i="11"/>
  <c r="H10" i="11"/>
  <c r="G11" i="11"/>
  <c r="G10" i="11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17" i="12"/>
  <c r="K33" i="12"/>
  <c r="J33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17" i="12"/>
  <c r="K10" i="12"/>
  <c r="J10" i="12"/>
  <c r="L10" i="12" s="1"/>
  <c r="I10" i="12"/>
  <c r="J11" i="12"/>
  <c r="K11" i="12"/>
  <c r="C6" i="9"/>
  <c r="H8" i="10"/>
  <c r="K8" i="10"/>
  <c r="I8" i="10"/>
  <c r="I7" i="10"/>
  <c r="H7" i="10"/>
  <c r="J31" i="6"/>
  <c r="I31" i="6"/>
  <c r="J16" i="6"/>
  <c r="J17" i="6"/>
  <c r="J18" i="6"/>
  <c r="J19" i="6"/>
  <c r="J20" i="6"/>
  <c r="K20" i="6" s="1"/>
  <c r="J21" i="6"/>
  <c r="J22" i="6"/>
  <c r="J23" i="6"/>
  <c r="J24" i="6"/>
  <c r="J25" i="6"/>
  <c r="K25" i="6" s="1"/>
  <c r="J26" i="6"/>
  <c r="K26" i="6" s="1"/>
  <c r="J27" i="6"/>
  <c r="J28" i="6"/>
  <c r="J29" i="6"/>
  <c r="J30" i="6"/>
  <c r="J15" i="6"/>
  <c r="I16" i="6"/>
  <c r="I17" i="6"/>
  <c r="I18" i="6"/>
  <c r="I19" i="6"/>
  <c r="I20" i="6"/>
  <c r="I21" i="6"/>
  <c r="K21" i="6" s="1"/>
  <c r="I22" i="6"/>
  <c r="K22" i="6" s="1"/>
  <c r="I23" i="6"/>
  <c r="K23" i="6" s="1"/>
  <c r="I24" i="6"/>
  <c r="I25" i="6"/>
  <c r="I26" i="6"/>
  <c r="I27" i="6"/>
  <c r="I28" i="6"/>
  <c r="I29" i="6"/>
  <c r="I30" i="6"/>
  <c r="I15" i="6"/>
  <c r="K31" i="6"/>
  <c r="K30" i="6"/>
  <c r="K29" i="6"/>
  <c r="K28" i="6"/>
  <c r="K19" i="6"/>
  <c r="K18" i="6"/>
  <c r="K17" i="6"/>
  <c r="K16" i="6"/>
  <c r="K15" i="6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12" i="5"/>
  <c r="I18" i="1"/>
  <c r="K19" i="1"/>
  <c r="K27" i="1"/>
  <c r="K28" i="1"/>
  <c r="K29" i="1"/>
  <c r="K30" i="1"/>
  <c r="K31" i="1"/>
  <c r="K32" i="1"/>
  <c r="K33" i="1"/>
  <c r="K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18" i="1"/>
  <c r="I19" i="1"/>
  <c r="I20" i="1"/>
  <c r="I21" i="1"/>
  <c r="I22" i="1"/>
  <c r="I23" i="1"/>
  <c r="K23" i="1" s="1"/>
  <c r="I24" i="1"/>
  <c r="K24" i="1" s="1"/>
  <c r="I25" i="1"/>
  <c r="K25" i="1" s="1"/>
  <c r="I26" i="1"/>
  <c r="I27" i="1"/>
  <c r="I28" i="1"/>
  <c r="I29" i="1"/>
  <c r="I30" i="1"/>
  <c r="I31" i="1"/>
  <c r="I32" i="1"/>
  <c r="I33" i="1"/>
  <c r="K9" i="6"/>
  <c r="J9" i="6"/>
  <c r="I9" i="6"/>
  <c r="K8" i="6"/>
  <c r="K7" i="6"/>
  <c r="K6" i="6"/>
  <c r="J8" i="6"/>
  <c r="J7" i="6"/>
  <c r="J6" i="6"/>
  <c r="I8" i="6"/>
  <c r="I7" i="6"/>
  <c r="I6" i="6"/>
  <c r="H8" i="6"/>
  <c r="H7" i="6"/>
  <c r="H6" i="6"/>
  <c r="K6" i="5"/>
  <c r="J7" i="5"/>
  <c r="I7" i="5"/>
  <c r="J6" i="5"/>
  <c r="I6" i="5"/>
  <c r="J10" i="1"/>
  <c r="H11" i="1"/>
  <c r="H10" i="1"/>
  <c r="H9" i="1"/>
  <c r="H8" i="1"/>
  <c r="H7" i="1"/>
  <c r="B20" i="5"/>
  <c r="C20" i="5"/>
  <c r="D20" i="5"/>
  <c r="E20" i="5"/>
  <c r="B64" i="6"/>
  <c r="C64" i="6"/>
  <c r="D64" i="6"/>
  <c r="E64" i="6"/>
  <c r="B42" i="6"/>
  <c r="C42" i="6"/>
  <c r="D42" i="6"/>
  <c r="E42" i="6"/>
  <c r="B20" i="6"/>
  <c r="C20" i="6"/>
  <c r="D20" i="6"/>
  <c r="E20" i="6"/>
  <c r="B110" i="1"/>
  <c r="I11" i="1" s="1"/>
  <c r="C110" i="1"/>
  <c r="D110" i="1"/>
  <c r="J11" i="1" s="1"/>
  <c r="E110" i="1"/>
  <c r="B88" i="1"/>
  <c r="I10" i="1" s="1"/>
  <c r="K10" i="1" s="1"/>
  <c r="C88" i="1"/>
  <c r="D88" i="1"/>
  <c r="E88" i="1"/>
  <c r="E6" i="18" l="1"/>
  <c r="E5" i="18"/>
  <c r="B12" i="18"/>
  <c r="E4" i="18"/>
  <c r="C12" i="18"/>
  <c r="G2" i="18"/>
  <c r="D7" i="18"/>
  <c r="G7" i="18" s="1"/>
  <c r="D3" i="18"/>
  <c r="D5" i="18"/>
  <c r="F5" i="18" s="1"/>
  <c r="D6" i="18"/>
  <c r="G6" i="18" s="1"/>
  <c r="D4" i="18"/>
  <c r="G5" i="18"/>
  <c r="E2" i="18"/>
  <c r="E7" i="18"/>
  <c r="C28" i="15"/>
  <c r="E28" i="15" s="1"/>
  <c r="E26" i="15"/>
  <c r="E22" i="15"/>
  <c r="K26" i="10"/>
  <c r="K32" i="10"/>
  <c r="K31" i="10"/>
  <c r="J36" i="10"/>
  <c r="K36" i="10" s="1"/>
  <c r="I11" i="11"/>
  <c r="J11" i="11" s="1"/>
  <c r="J34" i="11"/>
  <c r="J32" i="11"/>
  <c r="J18" i="11"/>
  <c r="J22" i="11"/>
  <c r="J33" i="11"/>
  <c r="J20" i="11"/>
  <c r="J30" i="11"/>
  <c r="J19" i="11"/>
  <c r="J26" i="11"/>
  <c r="J31" i="11"/>
  <c r="J27" i="11"/>
  <c r="J28" i="11"/>
  <c r="J29" i="11"/>
  <c r="H23" i="11"/>
  <c r="J23" i="11" s="1"/>
  <c r="H12" i="11"/>
  <c r="C10" i="9" s="1"/>
  <c r="I12" i="11"/>
  <c r="D10" i="9" s="1"/>
  <c r="J9" i="10"/>
  <c r="D8" i="9" s="1"/>
  <c r="E8" i="9" s="1"/>
  <c r="L8" i="9" s="1"/>
  <c r="I9" i="10"/>
  <c r="K7" i="10"/>
  <c r="K9" i="10" s="1"/>
  <c r="K21" i="1"/>
  <c r="K20" i="1"/>
  <c r="K26" i="1"/>
  <c r="J34" i="1"/>
  <c r="I34" i="1"/>
  <c r="K22" i="1"/>
  <c r="K27" i="6"/>
  <c r="K24" i="6"/>
  <c r="K11" i="1"/>
  <c r="B66" i="1"/>
  <c r="I9" i="1" s="1"/>
  <c r="C66" i="1"/>
  <c r="D66" i="1"/>
  <c r="J9" i="1" s="1"/>
  <c r="E66" i="1"/>
  <c r="B43" i="1"/>
  <c r="I8" i="1" s="1"/>
  <c r="C43" i="1"/>
  <c r="D43" i="1"/>
  <c r="J8" i="1" s="1"/>
  <c r="E43" i="1"/>
  <c r="D20" i="1"/>
  <c r="J7" i="1" s="1"/>
  <c r="E20" i="1"/>
  <c r="C20" i="1"/>
  <c r="B20" i="1"/>
  <c r="I7" i="1" s="1"/>
  <c r="F7" i="18" l="1"/>
  <c r="F3" i="18"/>
  <c r="G3" i="18"/>
  <c r="F4" i="18"/>
  <c r="G4" i="18"/>
  <c r="F6" i="18"/>
  <c r="D10" i="18"/>
  <c r="E10" i="18"/>
  <c r="F2" i="18"/>
  <c r="D11" i="9"/>
  <c r="E10" i="9"/>
  <c r="L10" i="9" s="1"/>
  <c r="C11" i="9"/>
  <c r="J12" i="11"/>
  <c r="L11" i="12"/>
  <c r="K34" i="1"/>
  <c r="K8" i="1"/>
  <c r="K9" i="1"/>
  <c r="K7" i="1"/>
  <c r="I12" i="1"/>
  <c r="J12" i="1"/>
  <c r="F10" i="18" l="1"/>
  <c r="B14" i="18" s="1"/>
  <c r="G10" i="18"/>
  <c r="E11" i="9"/>
  <c r="I6" i="9"/>
  <c r="K12" i="1"/>
  <c r="B22" i="18" l="1"/>
  <c r="B24" i="18" s="1"/>
  <c r="I5" i="9"/>
  <c r="B14" i="19" l="1"/>
  <c r="B20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<sst xmlns="http://schemas.openxmlformats.org/spreadsheetml/2006/main" count="997" uniqueCount="160">
  <si>
    <t>Age Group</t>
  </si>
  <si>
    <t>Males Number</t>
  </si>
  <si>
    <t>Males %</t>
  </si>
  <si>
    <t>Females Number</t>
  </si>
  <si>
    <t>Females %</t>
  </si>
  <si>
    <t>00-04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</si>
  <si>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</si>
  <si>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</si>
  <si>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</si>
  <si>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</si>
  <si>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</si>
  <si>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</si>
  <si>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</si>
  <si>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</si>
  <si>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</si>
  <si>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</si>
  <si>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</si>
  <si>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</si>
  <si>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</si>
  <si>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</si>
  <si>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</si>
  <si>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MANIPUR</t>
  </si>
  <si>
    <t>MALES</t>
  </si>
  <si>
    <t xml:space="preserve">FEMALES </t>
  </si>
  <si>
    <t>TOTAL</t>
  </si>
  <si>
    <t>MIZORAM</t>
  </si>
  <si>
    <t>AGE GROUP</t>
  </si>
  <si>
    <t>FEMALES</t>
  </si>
  <si>
    <t xml:space="preserve">NUMBER </t>
  </si>
  <si>
    <t>PERCENTAGE%</t>
  </si>
  <si>
    <t>NUMBER</t>
  </si>
  <si>
    <t>SIKKIM</t>
  </si>
  <si>
    <t>MEGHALAYA</t>
  </si>
  <si>
    <t>TRIPURA</t>
  </si>
  <si>
    <t>Males</t>
  </si>
  <si>
    <t>Females</t>
  </si>
  <si>
    <t>North East Zone Male and Females</t>
  </si>
  <si>
    <t>East Zone Male and Females</t>
  </si>
  <si>
    <t>South Zone Male and Females</t>
  </si>
  <si>
    <t>Region Wise Males and Females</t>
  </si>
  <si>
    <t>North East Zone</t>
  </si>
  <si>
    <t>West Zone</t>
  </si>
  <si>
    <t>Central Zone</t>
  </si>
  <si>
    <t>East Zone</t>
  </si>
  <si>
    <t>South Zone</t>
  </si>
  <si>
    <t>North Zone</t>
  </si>
  <si>
    <t>Total</t>
  </si>
  <si>
    <t>North East Zone Age Wise Analysis</t>
  </si>
  <si>
    <t>East Zone Total Males and Females</t>
  </si>
  <si>
    <t>South Zone Total Males and Females</t>
  </si>
  <si>
    <t>Zones</t>
  </si>
  <si>
    <t>Region</t>
  </si>
  <si>
    <t>Gender</t>
  </si>
  <si>
    <t>North Zone Male and Females</t>
  </si>
  <si>
    <t>PUNJAB</t>
  </si>
  <si>
    <t>DELHI</t>
  </si>
  <si>
    <t>TELANGANA</t>
  </si>
  <si>
    <t>TAMIL NADU</t>
  </si>
  <si>
    <t>KARNATAKA</t>
  </si>
  <si>
    <t>MADHYA PRADESH</t>
  </si>
  <si>
    <t>GUJARAT</t>
  </si>
  <si>
    <t>MAHARASHTRA</t>
  </si>
  <si>
    <t>West Bengal</t>
  </si>
  <si>
    <t>Central Zone Male and Females</t>
  </si>
  <si>
    <t>West Zone Male and Females</t>
  </si>
  <si>
    <t>West Zone Age Wise Distribution</t>
  </si>
  <si>
    <t>Central Zone Age Wise Analysis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</si>
  <si>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</si>
  <si>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</si>
  <si>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</si>
  <si>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</si>
  <si>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</si>
  <si>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</si>
  <si>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</si>
  <si>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</si>
  <si>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</si>
  <si>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</si>
  <si>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</si>
  <si>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</si>
  <si>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</si>
  <si>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</si>
  <si>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Sum</t>
  </si>
  <si>
    <t>N</t>
  </si>
  <si>
    <t>Mean Double Check</t>
  </si>
  <si>
    <t>Males (X)</t>
  </si>
  <si>
    <t>Females (Y)</t>
  </si>
  <si>
    <t>X - X bar</t>
  </si>
  <si>
    <t>Y - Y bar</t>
  </si>
  <si>
    <t>(X-Xbar) *(Y-Y bar)</t>
  </si>
  <si>
    <t>Covariance</t>
  </si>
  <si>
    <t>Covariance double check using formula</t>
  </si>
  <si>
    <t>(X-Xbar)**2</t>
  </si>
  <si>
    <t>Variance using formula</t>
  </si>
  <si>
    <t>Regression</t>
  </si>
  <si>
    <t>Beta 1</t>
  </si>
  <si>
    <t>beta not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</si>
  <si>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</si>
  <si>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</si>
  <si>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</si>
  <si>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</si>
  <si>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</si>
  <si>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</si>
  <si>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</si>
  <si>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Residual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</si>
  <si>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</si>
  <si>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</si>
  <si>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</si>
  <si>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</si>
  <si>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</si>
  <si>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</si>
  <si>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</si>
  <si>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</si>
  <si>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</si>
  <si>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</si>
  <si>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</si>
  <si>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X Variable 1</t>
  </si>
  <si>
    <t>Total Cases</t>
  </si>
  <si>
    <t>number</t>
  </si>
  <si>
    <t>Expected</t>
  </si>
  <si>
    <t>Chi Term</t>
  </si>
  <si>
    <t>ChiSqStat</t>
  </si>
  <si>
    <t>Degree of Freedom</t>
  </si>
  <si>
    <t>Chi SQ Test</t>
  </si>
  <si>
    <t>H0: Cancer cases are equally distributed across all zones</t>
  </si>
  <si>
    <t>H1: Cancer cases are not equally distributed across all zones</t>
  </si>
  <si>
    <t>Observed Frequency</t>
  </si>
  <si>
    <t>Expected Frequency</t>
  </si>
  <si>
    <t>Class</t>
  </si>
  <si>
    <t>Frequency</t>
  </si>
  <si>
    <t>Observed</t>
  </si>
  <si>
    <t>Central Zone Male</t>
  </si>
  <si>
    <t>Central Zone Female</t>
  </si>
  <si>
    <t>East Zone Male</t>
  </si>
  <si>
    <t>East Zone Female</t>
  </si>
  <si>
    <t>North East Zone Male</t>
  </si>
  <si>
    <t>North East Zone Female</t>
  </si>
  <si>
    <t>North Zone Male</t>
  </si>
  <si>
    <t>North Zone Female</t>
  </si>
  <si>
    <t>South Zone Male</t>
  </si>
  <si>
    <t>South Zone Female</t>
  </si>
  <si>
    <t>West Zone Male</t>
  </si>
  <si>
    <t>West Zone Female</t>
  </si>
  <si>
    <t>Chi Square Calc</t>
  </si>
  <si>
    <t>Chi Square Tabulated</t>
  </si>
  <si>
    <t>Null Hypothesis is rejectesd</t>
  </si>
  <si>
    <t>We reject the null hypothesis</t>
  </si>
  <si>
    <t>H0: Gender and Zone are independent of each other</t>
  </si>
  <si>
    <t>H1: Gender and Zone are dependent on each other</t>
  </si>
  <si>
    <t>Observed - Expected</t>
  </si>
  <si>
    <t>(Observed - Expected)^2/Expected</t>
  </si>
  <si>
    <t>count</t>
  </si>
  <si>
    <t>Chi Square Statistics</t>
  </si>
  <si>
    <t>mean</t>
  </si>
  <si>
    <t>Males (x)</t>
  </si>
  <si>
    <t>Females (y)</t>
  </si>
  <si>
    <t>x-x̄</t>
  </si>
  <si>
    <t>y - ȳ</t>
  </si>
  <si>
    <t>(x-x̄)*(y-ȳ)</t>
  </si>
  <si>
    <t>(x-x̄)^2</t>
  </si>
  <si>
    <t>(y-ȳ)^2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</si>
</sst>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10" fontId="0" fillId="0" borderId="0" xfId="1" applyNumberFormat="1" applyFont="1"/>
    <xf numFmtId="10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10" fontId="0" fillId="0" borderId="1" xfId="0" applyNumberFormat="1" applyBorder="1"/>
    <xf numFmtId="12" fontId="0" fillId="0" borderId="0" xfId="0" applyNumberFormat="1"/>
    <xf numFmtId="1" fontId="0" fillId="0" borderId="1" xfId="0" applyNumberFormat="1" applyBorder="1"/>
    <xf numFmtId="0" fontId="0" fillId="0" borderId="3" xfId="0" applyBorder="1"/>
    <xf numFmtId="0" fontId="3" fillId="0" borderId="4" xfId="0" applyFont="1" applyBorder="1" applyAlignment="1">
      <alignment horizontal="center"/>
    </xf>
    <xf numFmtId="0" fontId="0" fillId="0" borderId="5" xfId="0" applyBorder="1"/>
    <xf numFmtId="0" fontId="3" fillId="0" borderId="4" xfId="0" applyFont="1" applyBorder="1" applyAlignment="1">
      <alignment horizontal="centerContinuous"/>
    </xf>
    <xf numFmtId="0" fontId="0" fillId="0" borderId="1" xfId="0" applyBorder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left" indent="5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Fill="1" applyBorder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'NORTH EAST ZONE'!$K$6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'NORTH EAST ZONE'!$H$7:$H$11</c:f>
              <c:strCache>
                <c:ptCount val="5"/>
                <c:pt idx="0">
                  <c:v>MANIPUR</c:v>
                </c:pt>
                <c:pt idx="1">
                  <c:v>MIZORAM</c:v>
                </c:pt>
                <c:pt idx="2">
                  <c:v>SIKKIM</c:v>
                </c:pt>
                <c:pt idx="3">
                  <c:v>MEGHALAYA</c:v>
                </c:pt>
                <c:pt idx="4">
                  <c:v>TRIPURA</c:v>
                </c:pt>
              </c:strCache>
            </c:strRef>
          </c:cat>
          <c:val>
            <c:numRef>
              <c:f>'NORTH EAST ZONE'!$K$7:$K$11</c:f>
              <c:numCache>
                <c:formatCode>General</c:formatCode>
                <c:ptCount val="5"/>
                <c:pt idx="0">
                  <c:v>15778153</c:v>
                </c:pt>
                <c:pt idx="1">
                  <c:v>5862530</c:v>
                </c:pt>
                <c:pt idx="2">
                  <c:v>3324050</c:v>
                </c:pt>
                <c:pt idx="3">
                  <c:v>10019395</c:v>
                </c:pt>
                <c:pt idx="4">
                  <c:v>19556195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F-4933-8F69-A1FE2AA678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7208591"/>
        <c:axId val="557197071"/>
      </c:barChart>
      <c:catAx>
        <c:axId val="557208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97071"/>
        <c:crosses val="autoZero"/>
        <c:auto val="1"/>
        <c:lblAlgn val="ctr"/>
        <c:lblOffset val="100"/>
        <c:noMultiLvlLbl val="0"/>
      </c:catAx>
      <c:valAx>
        <c:axId val="55719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20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</a:t>
            </a:r>
            <a:r>
              <a:rPr lang="en-US" baseline="0"/>
              <a:t> East Zone Male and Female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'NORTH EAST ZONE'!$I$6</c:f>
              <c:strCache>
                <c:ptCount val="1"/>
                <c:pt idx="0">
                  <c:v>Males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7777777777803E-3"/>
                  <c:y val="-6.94444444444444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15-4804-9D56-E9F20D8BFB7C}"/>
                </c:ext>
              </c:extLst>
            </c:dLbl>
            <c:dLbl>
              <c:idx val="1"/>
              <c:layout>
                <c:manualLayout>
                  <c:x val="-5.0925337632079971E-17"/>
                  <c:y val="-8.33333333333333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15-4804-9D56-E9F20D8BFB7C}"/>
                </c:ext>
              </c:extLst>
            </c:dLbl>
            <c:dLbl>
              <c:idx val="2"/>
              <c:layout>
                <c:manualLayout>
                  <c:x val="2.7777777777777779E-3"/>
                  <c:y val="-8.33333333333333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15-4804-9D56-E9F20D8BFB7C}"/>
                </c:ext>
              </c:extLst>
            </c:dLbl>
            <c:dLbl>
              <c:idx val="3"/>
              <c:layout>
                <c:manualLayout>
                  <c:x val="0"/>
                  <c:y val="-7.4074074074074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15-4804-9D56-E9F20D8BFB7C}"/>
                </c:ext>
              </c:extLst>
            </c:dLbl>
            <c:dLbl>
              <c:idx val="4"/>
              <c:layout>
                <c:manualLayout>
                  <c:x val="1.0185067526415994E-16"/>
                  <c:y val="-8.33333333333333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15-4804-9D56-E9F20D8BFB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'NORTH EAST ZONE'!$H$7:$H$11</c:f>
              <c:strCache>
                <c:ptCount val="5"/>
                <c:pt idx="0">
                  <c:v>MANIPUR</c:v>
                </c:pt>
                <c:pt idx="1">
                  <c:v>MIZORAM</c:v>
                </c:pt>
                <c:pt idx="2">
                  <c:v>SIKKIM</c:v>
                </c:pt>
                <c:pt idx="3">
                  <c:v>MEGHALAYA</c:v>
                </c:pt>
                <c:pt idx="4">
                  <c:v>TRIPURA</c:v>
                </c:pt>
              </c:strCache>
            </c:strRef>
          </c:cat>
          <c:val>
            <c:numRef>
              <c:f>'NORTH EAST ZONE'!$I$7:$I$11</c:f>
              <c:numCache>
                <c:formatCode>General</c:formatCode>
                <c:ptCount val="5"/>
                <c:pt idx="0">
                  <c:v>7922747</c:v>
                </c:pt>
                <c:pt idx="1">
                  <c:v>2975025</c:v>
                </c:pt>
                <c:pt idx="2">
                  <c:v>1738066</c:v>
                </c:pt>
                <c:pt idx="3">
                  <c:v>5033991</c:v>
                </c:pt>
                <c:pt idx="4">
                  <c:v>9871616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5-4804-9D56-E9F20D8BFB7C}"/>
            </c:ext>
          </c:extLst>
        </c:ser>
        <c:ser>
          <c:idx val="1"/>
          <c:order val="1"/>
          <c:tx>
            <c:strRef>
              <c:f>'NORTH EAST ZONE'!$J$6</c:f>
              <c:strCache>
                <c:ptCount val="1"/>
                <c:pt idx="0">
                  <c:v>Females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'NORTH EAST ZONE'!$H$7:$H$11</c:f>
              <c:strCache>
                <c:ptCount val="5"/>
                <c:pt idx="0">
                  <c:v>MANIPUR</c:v>
                </c:pt>
                <c:pt idx="1">
                  <c:v>MIZORAM</c:v>
                </c:pt>
                <c:pt idx="2">
                  <c:v>SIKKIM</c:v>
                </c:pt>
                <c:pt idx="3">
                  <c:v>MEGHALAYA</c:v>
                </c:pt>
                <c:pt idx="4">
                  <c:v>TRIPURA</c:v>
                </c:pt>
              </c:strCache>
            </c:strRef>
          </c:cat>
          <c:val>
            <c:numRef>
              <c:f>'NORTH EAST ZONE'!$J$7:$J$11</c:f>
              <c:numCache>
                <c:formatCode>General</c:formatCode>
                <c:ptCount val="5"/>
                <c:pt idx="0">
                  <c:v>7855406</c:v>
                </c:pt>
                <c:pt idx="1">
                  <c:v>2887505</c:v>
                </c:pt>
                <c:pt idx="2">
                  <c:v>1585984</c:v>
                </c:pt>
                <c:pt idx="3">
                  <c:v>4985404</c:v>
                </c:pt>
                <c:pt idx="4">
                  <c:v>9684579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15-4804-9D56-E9F20D8BF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8918736"/>
        <c:axId val="1228885136"/>
      </c:barChart>
      <c:catAx>
        <c:axId val="1228918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Males</a:t>
                </a:r>
                <a:r>
                  <a:rPr lang="en-US" baseline="0"/>
                  <a:t> and Females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85136"/>
        <c:crosses val="autoZero"/>
        <c:auto val="1"/>
        <c:lblAlgn val="ctr"/>
        <c:lblOffset val="100"/>
        <c:noMultiLvlLbl val="0"/>
      </c:catAx>
      <c:valAx>
        <c:axId val="12288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9187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'WEST ZONE'!$N$9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'WEST ZONE'!$M$10:$M$11</c:f>
              <c:strCache>
                <c:ptCount val="2"/>
                <c:pt idx="0">
                  <c:v>GUJARAT</c:v>
                </c:pt>
                <c:pt idx="1">
                  <c:v>MAHARASHTRA</c:v>
                </c:pt>
              </c:strCache>
            </c:strRef>
          </c:cat>
          <c:val>
            <c:numRef>
              <c:f>'WEST ZONE'!$N$10:$N$11</c:f>
              <c:numCache>
                <c:formatCode>General</c:formatCode>
                <c:ptCount val="2"/>
                <c:pt idx="0">
                  <c:v>28168662</c:v>
                </c:pt>
                <c:pt idx="1">
                  <c:v>122417752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7-478E-8B55-A192C474C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1276224"/>
        <c:axId val="1111278144"/>
      </c:barChart>
      <c:catAx>
        <c:axId val="111127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78144"/>
        <c:crosses val="autoZero"/>
        <c:auto val="1"/>
        <c:lblAlgn val="ctr"/>
        <c:lblOffset val="100"/>
        <c:noMultiLvlLbl val="0"/>
      </c:catAx>
      <c:valAx>
        <c:axId val="111127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7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'CENTRAL ZONE'!$N$9</c:f>
              <c:strCache>
                <c:ptCount val="1"/>
                <c:pt idx="0">
                  <c:v>Region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'CENTRAL ZONE'!$N$10</c:f>
              <c:strCache>
                <c:ptCount val="1"/>
                <c:pt idx="0">
                  <c:v>MADHYA PRADESH</c:v>
                </c:pt>
              </c:strCache>
            </c:strRef>
          </c:cat>
          <c:val>
            <c:numRef>
              <c:f>'CENTRAL ZONE'!$O$10</c:f>
              <c:numCache>
                <c:formatCode>General</c:formatCode>
                <c:ptCount val="1"/>
                <c:pt idx="0">
                  <c:v>8250852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7-404B-AA8B-A1FD10E321B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0B87-404B-AA8B-A1FD10E32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4418944"/>
        <c:axId val="1234417984"/>
      </c:barChart>
      <c:catAx>
        <c:axId val="1234418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417984"/>
        <c:crosses val="autoZero"/>
        <c:auto val="1"/>
        <c:lblAlgn val="ctr"/>
        <c:lblOffset val="100"/>
        <c:noMultiLvlLbl val="0"/>
      </c:catAx>
      <c:valAx>
        <c:axId val="123441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41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'EAST ZONE '!$H$6</c:f>
              <c:strCache>
                <c:ptCount val="1"/>
                <c:pt idx="0">
                  <c:v>West Bengal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'EAST ZONE '!$H$6</c:f>
              <c:strCache>
                <c:ptCount val="1"/>
                <c:pt idx="0">
                  <c:v>West Bengal</c:v>
                </c:pt>
              </c:strCache>
            </c:strRef>
          </c:cat>
          <c:val>
            <c:numRef>
              <c:f>'EAST ZONE '!$K$6</c:f>
              <c:numCache>
                <c:formatCode>General</c:formatCode>
                <c:ptCount val="1"/>
                <c:pt idx="0">
                  <c:v>17908319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C-42FD-99CA-AC747349C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9460095"/>
        <c:axId val="609458175"/>
      </c:barChart>
      <c:catAx>
        <c:axId val="609460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58175"/>
        <c:crosses val="autoZero"/>
        <c:auto val="0"/>
        <c:lblAlgn val="ctr"/>
        <c:lblOffset val="100"/>
        <c:noMultiLvlLbl val="0"/>
      </c:catAx>
      <c:valAx>
        <c:axId val="60945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60095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'SOUTH ZONE'!$K$5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'SOUTH ZONE'!$H$6:$H$8</c:f>
              <c:strCache>
                <c:ptCount val="3"/>
                <c:pt idx="0">
                  <c:v>TELANGANA</c:v>
                </c:pt>
                <c:pt idx="1">
                  <c:v>TAMIL NADU</c:v>
                </c:pt>
                <c:pt idx="2">
                  <c:v>KARNATAKA</c:v>
                </c:pt>
              </c:strCache>
            </c:strRef>
          </c:cat>
          <c:val>
            <c:numRef>
              <c:f>'SOUTH ZONE'!$K$6:$K$8</c:f>
              <c:numCache>
                <c:formatCode>General</c:formatCode>
                <c:ptCount val="3"/>
                <c:pt idx="0">
                  <c:v>11981206</c:v>
                </c:pt>
                <c:pt idx="1">
                  <c:v>23762760</c:v>
                </c:pt>
                <c:pt idx="2">
                  <c:v>26307678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C-44DF-8790-C381D440D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9495615"/>
        <c:axId val="609446655"/>
      </c:barChart>
      <c:catAx>
        <c:axId val="60949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46655"/>
        <c:crosses val="autoZero"/>
        <c:auto val="1"/>
        <c:lblAlgn val="ctr"/>
        <c:lblOffset val="100"/>
        <c:noMultiLvlLbl val="0"/>
      </c:catAx>
      <c:valAx>
        <c:axId val="60944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9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'North Zone'!$I$13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'North Zone'!$H$14:$H$15</c:f>
              <c:strCache>
                <c:ptCount val="2"/>
                <c:pt idx="0">
                  <c:v>PUNJAB</c:v>
                </c:pt>
                <c:pt idx="1">
                  <c:v>DELHI</c:v>
                </c:pt>
              </c:strCache>
            </c:strRef>
          </c:cat>
          <c:val>
            <c:numRef>
              <c:f>'North Zone'!$I$14:$I$15</c:f>
              <c:numCache>
                <c:formatCode>General</c:formatCode>
                <c:ptCount val="2"/>
                <c:pt idx="0">
                  <c:v>10065059</c:v>
                </c:pt>
                <c:pt idx="1">
                  <c:v>51923020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A-4AE4-A85E-F5F84D53E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1670816"/>
        <c:axId val="1241671296"/>
      </c:barChart>
      <c:catAx>
        <c:axId val="124167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71296"/>
        <c:crosses val="autoZero"/>
        <c:auto val="1"/>
        <c:lblAlgn val="ctr"/>
        <c:lblOffset val="100"/>
        <c:noMultiLvlLbl val="0"/>
      </c:catAx>
      <c:valAx>
        <c:axId val="124167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7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Analysis</a:t>
            </a:r>
            <a:r>
              <a:rPr lang="en-US" baseline="0"/>
              <a:t> of gender on Number of Cancer Cases in India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Calc'!$C$4</c:f>
              <c:strCache>
                <c:ptCount val="1"/>
                <c:pt idx="0">
                  <c:v>Males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Males</c:v>
              </c:pt>
              <c:pt idx="1">
                <c:v>Females</c:v>
              </c:pt>
            </c:strLit>
          </c:cat>
          <c:val>
            <c:numRef>
              <c:f>'Final Calc'!$C$11</c:f>
              <c:numCache>
                <c:formatCode>General</c:formatCode>
                <c:ptCount val="1"/>
                <c:pt idx="0">
                  <c:v>152100186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2-4FCD-84C7-A82CB5E4EAD7}"/>
            </c:ext>
          </c:extLst>
        </c:ser>
        <c:ser>
          <c:idx val="1"/>
          <c:order val="1"/>
          <c:tx>
            <c:strRef>
              <c:f>'Final Calc'!$D$4</c:f>
              <c:strCache>
                <c:ptCount val="1"/>
                <c:pt idx="0">
                  <c:v>Females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Males</c:v>
              </c:pt>
              <c:pt idx="1">
                <c:v>Females</c:v>
              </c:pt>
            </c:strLit>
          </c:cat>
          <c:val>
            <c:numRef>
              <c:f>'Final Calc'!$D$11</c:f>
              <c:numCache>
                <c:formatCode>General</c:formatCode>
                <c:ptCount val="1"/>
                <c:pt idx="0">
                  <c:v>142916569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2-4FCD-84C7-A82CB5E4EA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7842272"/>
        <c:axId val="1947838432"/>
      </c:barChart>
      <c:catAx>
        <c:axId val="194784227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Males                        </a:t>
                </a:r>
                <a:r>
                  <a:rPr lang="en-US" baseline="0"/>
                  <a:t>Females</a:t>
                </a:r>
              </a:p>
            </c:rich>
          </c:tx>
          <c:layout>
            <c:manualLayout>
              <c:xMode val="edge"/>
              <c:yMode val="edge"/>
              <c:x val="0.42747790901137356"/>
              <c:y val="0.90703630796150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47838432"/>
        <c:crosses val="autoZero"/>
        <c:auto val="1"/>
        <c:lblAlgn val="ctr"/>
        <c:lblOffset val="100"/>
        <c:noMultiLvlLbl val="0"/>
      </c:catAx>
      <c:valAx>
        <c:axId val="194783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4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'Final Calc'!$E$4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Calc'!$B$5:$B$10</c:f>
              <c:strCache>
                <c:ptCount val="6"/>
                <c:pt idx="0">
                  <c:v>Central Zone</c:v>
                </c:pt>
                <c:pt idx="1">
                  <c:v>East Zone</c:v>
                </c:pt>
                <c:pt idx="2">
                  <c:v>North East Zone</c:v>
                </c:pt>
                <c:pt idx="3">
                  <c:v>North Zone</c:v>
                </c:pt>
                <c:pt idx="4">
                  <c:v>South Zone</c:v>
                </c:pt>
                <c:pt idx="5">
                  <c:v>West Zone</c:v>
                </c:pt>
              </c:strCache>
            </c:strRef>
          </c:cat>
          <c:val>
            <c:numRef>
              <c:f>'Final Calc'!$E$5:$E$10</c:f>
              <c:numCache>
                <c:formatCode>General</c:formatCode>
                <c:ptCount val="6"/>
                <c:pt idx="0">
                  <c:v>8250852</c:v>
                </c:pt>
                <c:pt idx="1">
                  <c:v>17908319</c:v>
                </c:pt>
                <c:pt idx="2">
                  <c:v>54540323</c:v>
                </c:pt>
                <c:pt idx="3">
                  <c:v>62888079</c:v>
                </c:pt>
                <c:pt idx="4">
                  <c:v>62051644</c:v>
                </c:pt>
                <c:pt idx="5">
                  <c:v>89377538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4-4234-ACB9-B354BAF52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22897920"/>
        <c:axId val="722928640"/>
      </c:barChart>
      <c:catAx>
        <c:axId val="72289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28640"/>
        <c:crosses val="autoZero"/>
        <c:auto val="1"/>
        <c:lblAlgn val="ctr"/>
        <c:lblOffset val="100"/>
        <c:noMultiLvlLbl val="0"/>
      </c:catAx>
      <c:valAx>
        <c:axId val="72292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9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Calc'!$C$4</c:f>
              <c:strCache>
                <c:ptCount val="1"/>
                <c:pt idx="0">
                  <c:v>Males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Calc'!$B$5:$B$10</c:f>
              <c:strCache>
                <c:ptCount val="6"/>
                <c:pt idx="0">
                  <c:v>Central Zone</c:v>
                </c:pt>
                <c:pt idx="1">
                  <c:v>East Zone</c:v>
                </c:pt>
                <c:pt idx="2">
                  <c:v>North East Zone</c:v>
                </c:pt>
                <c:pt idx="3">
                  <c:v>North Zone</c:v>
                </c:pt>
                <c:pt idx="4">
                  <c:v>South Zone</c:v>
                </c:pt>
                <c:pt idx="5">
                  <c:v>West Zone</c:v>
                </c:pt>
              </c:strCache>
            </c:strRef>
          </c:cat>
          <c:val>
            <c:numRef>
              <c:f>'Final Calc'!$C$5:$C$10</c:f>
              <c:numCache>
                <c:formatCode>General</c:formatCode>
                <c:ptCount val="6"/>
                <c:pt idx="0">
                  <c:v>4280917</c:v>
                </c:pt>
                <c:pt idx="1">
                  <c:v>9270946</c:v>
                </c:pt>
                <c:pt idx="2">
                  <c:v>27541445</c:v>
                </c:pt>
                <c:pt idx="3">
                  <c:v>32929570</c:v>
                </c:pt>
                <c:pt idx="4">
                  <c:v>31641265</c:v>
                </c:pt>
                <c:pt idx="5">
                  <c:v>46436043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5-4CE7-957B-8B9B01898EF1}"/>
            </c:ext>
          </c:extLst>
        </c:ser>
        <c:ser>
          <c:idx val="1"/>
          <c:order val="1"/>
          <c:tx>
            <c:strRef>
              <c:f>'Final Calc'!$D$4</c:f>
              <c:strCache>
                <c:ptCount val="1"/>
                <c:pt idx="0">
                  <c:v>Females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'Final Calc'!$B$5:$B$10</c:f>
              <c:strCache>
                <c:ptCount val="6"/>
                <c:pt idx="0">
                  <c:v>Central Zone</c:v>
                </c:pt>
                <c:pt idx="1">
                  <c:v>East Zone</c:v>
                </c:pt>
                <c:pt idx="2">
                  <c:v>North East Zone</c:v>
                </c:pt>
                <c:pt idx="3">
                  <c:v>North Zone</c:v>
                </c:pt>
                <c:pt idx="4">
                  <c:v>South Zone</c:v>
                </c:pt>
                <c:pt idx="5">
                  <c:v>West Zone</c:v>
                </c:pt>
              </c:strCache>
            </c:strRef>
          </c:cat>
          <c:val>
            <c:numRef>
              <c:f>'Final Calc'!$D$5:$D$10</c:f>
              <c:numCache>
                <c:formatCode>General</c:formatCode>
                <c:ptCount val="6"/>
                <c:pt idx="0">
                  <c:v>3969935</c:v>
                </c:pt>
                <c:pt idx="1">
                  <c:v>8637373</c:v>
                </c:pt>
                <c:pt idx="2">
                  <c:v>26998878</c:v>
                </c:pt>
                <c:pt idx="3">
                  <c:v>29958509</c:v>
                </c:pt>
                <c:pt idx="4">
                  <c:v>30410379</c:v>
                </c:pt>
                <c:pt idx="5">
                  <c:v>42941495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5-4CE7-957B-8B9B01898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958880"/>
        <c:axId val="722956960"/>
      </c:barChart>
      <c:catAx>
        <c:axId val="72295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56960"/>
        <c:crosses val="autoZero"/>
        <c:auto val="1"/>
        <c:lblAlgn val="ctr"/>
        <c:lblOffset val="100"/>
        <c:noMultiLvlLbl val="0"/>
      </c:catAx>
      <c:valAx>
        <c:axId val="72295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5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'Final Calc'!$H$27:$H$43</c15:sqref>
                  </c15:fullRef>
                </c:ext>
              </c:extLst>
              <c:f>'Final Calc'!$H$28:$H$43</c:f>
              <c:strCache>
                <c:ptCount val="16"/>
                <c:pt idx="0">
                  <c:v>00-04</c:v>
                </c:pt>
                <c:pt idx="1">
                  <c:v>05-09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'Final Calc'!$I$27:$I$43</c15:sqref>
                  </c15:fullRef>
                </c:ext>
              </c:extLst>
              <c:f>'Final Calc'!$I$28:$I$43</c:f>
              <c:numCache>
                <c:formatCode>General</c:formatCode>
                <c:ptCount val="16"/>
                <c:pt idx="0">
                  <c:v>23456241</c:v>
                </c:pt>
                <c:pt idx="1">
                  <c:v>24373027</c:v>
                </c:pt>
                <c:pt idx="2">
                  <c:v>25635098.5</c:v>
                </c:pt>
                <c:pt idx="3">
                  <c:v>26876491</c:v>
                </c:pt>
                <c:pt idx="4">
                  <c:v>30442587</c:v>
                </c:pt>
                <c:pt idx="5">
                  <c:v>29320648.5</c:v>
                </c:pt>
                <c:pt idx="6">
                  <c:v>25468697</c:v>
                </c:pt>
                <c:pt idx="7">
                  <c:v>23097636</c:v>
                </c:pt>
                <c:pt idx="8">
                  <c:v>19860908</c:v>
                </c:pt>
                <c:pt idx="9">
                  <c:v>17065502.5</c:v>
                </c:pt>
                <c:pt idx="10">
                  <c:v>13595898</c:v>
                </c:pt>
                <c:pt idx="11">
                  <c:v>10586263.5</c:v>
                </c:pt>
                <c:pt idx="12">
                  <c:v>8912146</c:v>
                </c:pt>
                <c:pt idx="13">
                  <c:v>5981238</c:v>
                </c:pt>
                <c:pt idx="14">
                  <c:v>4558818.5</c:v>
                </c:pt>
                <c:pt idx="15">
                  <c:v>5785554.5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E-4EB3-836C-D184B787D9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722953600"/>
        <c:axId val="722937760"/>
      </c:barChart>
      <c:catAx>
        <c:axId val="72295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37760"/>
        <c:crosses val="autoZero"/>
        <c:auto val="1"/>
        <c:lblAlgn val="ctr"/>
        <c:lblOffset val="100"/>
        <c:noMultiLvlLbl val="0"/>
      </c:catAx>
      <c:valAx>
        <c:axId val="72293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5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Calc'!$C$4</c:f>
              <c:strCache>
                <c:ptCount val="1"/>
                <c:pt idx="0">
                  <c:v>Males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Calc'!$B$5:$B$10</c:f>
              <c:strCache>
                <c:ptCount val="6"/>
                <c:pt idx="0">
                  <c:v>Central Zone</c:v>
                </c:pt>
                <c:pt idx="1">
                  <c:v>East Zone</c:v>
                </c:pt>
                <c:pt idx="2">
                  <c:v>North East Zone</c:v>
                </c:pt>
                <c:pt idx="3">
                  <c:v>North Zone</c:v>
                </c:pt>
                <c:pt idx="4">
                  <c:v>South Zone</c:v>
                </c:pt>
                <c:pt idx="5">
                  <c:v>West Zone</c:v>
                </c:pt>
              </c:strCache>
            </c:strRef>
          </c:cat>
          <c:val>
            <c:numRef>
              <c:f>'Final Calc'!$C$5:$C$10</c:f>
              <c:numCache>
                <c:formatCode>General</c:formatCode>
                <c:ptCount val="6"/>
                <c:pt idx="0">
                  <c:v>4280917</c:v>
                </c:pt>
                <c:pt idx="1">
                  <c:v>9270946</c:v>
                </c:pt>
                <c:pt idx="2">
                  <c:v>27541445</c:v>
                </c:pt>
                <c:pt idx="3">
                  <c:v>32929570</c:v>
                </c:pt>
                <c:pt idx="4">
                  <c:v>31641265</c:v>
                </c:pt>
                <c:pt idx="5">
                  <c:v>46436043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B-4FFB-BFE9-CDCDF78BB8BB}"/>
            </c:ext>
          </c:extLst>
        </c:ser>
        <c:ser>
          <c:idx val="1"/>
          <c:order val="1"/>
          <c:tx>
            <c:strRef>
              <c:f>'Final Calc'!$D$4</c:f>
              <c:strCache>
                <c:ptCount val="1"/>
                <c:pt idx="0">
                  <c:v>Females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'Final Calc'!$B$5:$B$10</c:f>
              <c:strCache>
                <c:ptCount val="6"/>
                <c:pt idx="0">
                  <c:v>Central Zone</c:v>
                </c:pt>
                <c:pt idx="1">
                  <c:v>East Zone</c:v>
                </c:pt>
                <c:pt idx="2">
                  <c:v>North East Zone</c:v>
                </c:pt>
                <c:pt idx="3">
                  <c:v>North Zone</c:v>
                </c:pt>
                <c:pt idx="4">
                  <c:v>South Zone</c:v>
                </c:pt>
                <c:pt idx="5">
                  <c:v>West Zone</c:v>
                </c:pt>
              </c:strCache>
            </c:strRef>
          </c:cat>
          <c:val>
            <c:numRef>
              <c:f>'Final Calc'!$D$5:$D$10</c:f>
              <c:numCache>
                <c:formatCode>General</c:formatCode>
                <c:ptCount val="6"/>
                <c:pt idx="0">
                  <c:v>3969935</c:v>
                </c:pt>
                <c:pt idx="1">
                  <c:v>8637373</c:v>
                </c:pt>
                <c:pt idx="2">
                  <c:v>26998878</c:v>
                </c:pt>
                <c:pt idx="3">
                  <c:v>29958509</c:v>
                </c:pt>
                <c:pt idx="4">
                  <c:v>30410379</c:v>
                </c:pt>
                <c:pt idx="5">
                  <c:v>42941495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B-4FFB-BFE9-CDCDF78BB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341184"/>
        <c:axId val="1476340704"/>
      </c:barChart>
      <c:catAx>
        <c:axId val="147634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340704"/>
        <c:crosses val="autoZero"/>
        <c:auto val="1"/>
        <c:lblAlgn val="ctr"/>
        <c:lblOffset val="100"/>
        <c:noMultiLvlLbl val="0"/>
      </c:catAx>
      <c:valAx>
        <c:axId val="14763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34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Calc'!$L$4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Calc'!$K$5:$K$10</c:f>
              <c:strCache>
                <c:ptCount val="6"/>
                <c:pt idx="0">
                  <c:v>Central Zone</c:v>
                </c:pt>
                <c:pt idx="1">
                  <c:v>East Zone</c:v>
                </c:pt>
                <c:pt idx="2">
                  <c:v>North East Zone</c:v>
                </c:pt>
                <c:pt idx="3">
                  <c:v>North Zone</c:v>
                </c:pt>
                <c:pt idx="4">
                  <c:v>South Zone</c:v>
                </c:pt>
                <c:pt idx="5">
                  <c:v>West Zone</c:v>
                </c:pt>
              </c:strCache>
            </c:strRef>
          </c:cat>
          <c:val>
            <c:numRef>
              <c:f>'Final Calc'!$L$5:$L$10</c:f>
              <c:numCache>
                <c:formatCode>General</c:formatCode>
                <c:ptCount val="6"/>
                <c:pt idx="0">
                  <c:v>41254260</c:v>
                </c:pt>
                <c:pt idx="1">
                  <c:v>89541595</c:v>
                </c:pt>
                <c:pt idx="2">
                  <c:v>54540323</c:v>
                </c:pt>
                <c:pt idx="3" formatCode="0">
                  <c:v>157220197.5</c:v>
                </c:pt>
                <c:pt idx="4" formatCode="0">
                  <c:v>103419406.66666667</c:v>
                </c:pt>
                <c:pt idx="5">
                  <c:v>223443845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5-47A2-AE1C-5B4990666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245504"/>
        <c:axId val="1111255104"/>
      </c:barChart>
      <c:catAx>
        <c:axId val="111124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55104"/>
        <c:crosses val="autoZero"/>
        <c:auto val="1"/>
        <c:lblAlgn val="ctr"/>
        <c:lblOffset val="100"/>
        <c:noMultiLvlLbl val="0"/>
      </c:catAx>
      <c:valAx>
        <c:axId val="111125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4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'Final Calc'!$I$4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92-491E-B2EF-77FBF46D5A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92-491E-B2EF-77FBF46D5AF4}"/>
              </c:ext>
            </c:extLst>
          </c:dPt>
          <c:cat>
            <c:strRef>
              <c:f>'Final Calc'!$H$5:$H$6</c:f>
              <c:strCache>
                <c:ptCount val="2"/>
                <c:pt idx="0">
                  <c:v>Males</c:v>
                </c:pt>
                <c:pt idx="1">
                  <c:v>Females</c:v>
                </c:pt>
              </c:strCache>
            </c:strRef>
          </c:cat>
          <c:val>
            <c:numRef>
              <c:f>'Final Calc'!$I$5:$I$6</c:f>
              <c:numCache>
                <c:formatCode>General</c:formatCode>
                <c:ptCount val="2"/>
                <c:pt idx="0">
                  <c:v>152100186</c:v>
                </c:pt>
                <c:pt idx="1">
                  <c:v>142916569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5-4EA1-B511-E946DEF18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Calc'!$C$4</c:f>
              <c:strCache>
                <c:ptCount val="1"/>
                <c:pt idx="0">
                  <c:v>Males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Calc'!$B$5:$B$10</c:f>
              <c:strCache>
                <c:ptCount val="6"/>
                <c:pt idx="0">
                  <c:v>Central Zone</c:v>
                </c:pt>
                <c:pt idx="1">
                  <c:v>East Zone</c:v>
                </c:pt>
                <c:pt idx="2">
                  <c:v>North East Zone</c:v>
                </c:pt>
                <c:pt idx="3">
                  <c:v>North Zone</c:v>
                </c:pt>
                <c:pt idx="4">
                  <c:v>South Zone</c:v>
                </c:pt>
                <c:pt idx="5">
                  <c:v>West Zone</c:v>
                </c:pt>
              </c:strCache>
            </c:strRef>
          </c:cat>
          <c:val>
            <c:numRef>
              <c:f>'Final Calc'!$C$5:$C$10</c:f>
              <c:numCache>
                <c:formatCode>General</c:formatCode>
                <c:ptCount val="6"/>
                <c:pt idx="0">
                  <c:v>4280917</c:v>
                </c:pt>
                <c:pt idx="1">
                  <c:v>9270946</c:v>
                </c:pt>
                <c:pt idx="2">
                  <c:v>27541445</c:v>
                </c:pt>
                <c:pt idx="3">
                  <c:v>32929570</c:v>
                </c:pt>
                <c:pt idx="4">
                  <c:v>31641265</c:v>
                </c:pt>
                <c:pt idx="5">
                  <c:v>46436043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0-4159-88C6-B492573A46D5}"/>
            </c:ext>
          </c:extLst>
        </c:ser>
        <c:ser>
          <c:idx val="1"/>
          <c:order val="1"/>
          <c:tx>
            <c:strRef>
              <c:f>'Final Calc'!$D$4</c:f>
              <c:strCache>
                <c:ptCount val="1"/>
                <c:pt idx="0">
                  <c:v>Females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'Final Calc'!$B$5:$B$10</c:f>
              <c:strCache>
                <c:ptCount val="6"/>
                <c:pt idx="0">
                  <c:v>Central Zone</c:v>
                </c:pt>
                <c:pt idx="1">
                  <c:v>East Zone</c:v>
                </c:pt>
                <c:pt idx="2">
                  <c:v>North East Zone</c:v>
                </c:pt>
                <c:pt idx="3">
                  <c:v>North Zone</c:v>
                </c:pt>
                <c:pt idx="4">
                  <c:v>South Zone</c:v>
                </c:pt>
                <c:pt idx="5">
                  <c:v>West Zone</c:v>
                </c:pt>
              </c:strCache>
            </c:strRef>
          </c:cat>
          <c:val>
            <c:numRef>
              <c:f>'Final Calc'!$D$5:$D$10</c:f>
              <c:numCache>
                <c:formatCode>General</c:formatCode>
                <c:ptCount val="6"/>
                <c:pt idx="0">
                  <c:v>3969935</c:v>
                </c:pt>
                <c:pt idx="1">
                  <c:v>8637373</c:v>
                </c:pt>
                <c:pt idx="2">
                  <c:v>26998878</c:v>
                </c:pt>
                <c:pt idx="3">
                  <c:v>29958509</c:v>
                </c:pt>
                <c:pt idx="4">
                  <c:v>30410379</c:v>
                </c:pt>
                <c:pt idx="5">
                  <c:v>42941495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0-4159-88C6-B492573A4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336336"/>
        <c:axId val="481330576"/>
      </c:barChart>
      <c:catAx>
        <c:axId val="4813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330576"/>
        <c:crosses val="autoZero"/>
        <c:auto val="1"/>
        <c:lblAlgn val="ctr"/>
        <c:lblOffset val="100"/>
        <c:noMultiLvlLbl val="0"/>
      </c:catAx>
      <c:valAx>
        <c:axId val="4813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33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456314</xdr:colOff>
      <xdr:row>5</xdr:row>
      <xdr:rowOff>72656</xdr:rowOff>
    </xdr:from>
    <xdr:to>
      <xdr:col>19</xdr:col>
      <xdr:colOff>584791</xdr:colOff>
      <xdr:row>18</xdr:row>
      <xdr:rowOff>79744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20C84-CB46-56C9-EF82-0E3D0D31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252523</xdr:colOff>
      <xdr:row>20</xdr:row>
      <xdr:rowOff>10634</xdr:rowOff>
    </xdr:from>
    <xdr:to>
      <xdr:col>18</xdr:col>
      <xdr:colOff>544918</xdr:colOff>
      <xdr:row>34</xdr:row>
      <xdr:rowOff>148857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54F819-F11B-CF1A-FD73-A1B2C0358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39414</xdr:colOff>
      <xdr:row>10</xdr:row>
      <xdr:rowOff>29780</xdr:rowOff>
    </xdr:from>
    <xdr:to>
      <xdr:col>21</xdr:col>
      <xdr:colOff>319689</xdr:colOff>
      <xdr:row>25</xdr:row>
      <xdr:rowOff>14014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D467D-EABE-89C9-2BE9-31AC55EA8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297180</xdr:colOff>
      <xdr:row>9</xdr:row>
      <xdr:rowOff>11430</xdr:rowOff>
    </xdr:from>
    <xdr:to>
      <xdr:col>23</xdr:col>
      <xdr:colOff>601980</xdr:colOff>
      <xdr:row>24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A77E14-D90A-2AB0-E92A-119390592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481927</xdr:colOff>
      <xdr:row>3</xdr:row>
      <xdr:rowOff>116633</xdr:rowOff>
    </xdr:from>
    <xdr:to>
      <xdr:col>19</xdr:col>
      <xdr:colOff>180237</xdr:colOff>
      <xdr:row>18</xdr:row>
      <xdr:rowOff>116634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5A0FB-B22B-2278-C9BB-CAA5E8547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396240</xdr:colOff>
      <xdr:row>4</xdr:row>
      <xdr:rowOff>99060</xdr:rowOff>
    </xdr:from>
    <xdr:to>
      <xdr:col>17</xdr:col>
      <xdr:colOff>335280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12C11-26F7-3876-3D6C-CA5BC2C25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510540</xdr:colOff>
      <xdr:row>6</xdr:row>
      <xdr:rowOff>49530</xdr:rowOff>
    </xdr:from>
    <xdr:to>
      <xdr:col>21</xdr:col>
      <xdr:colOff>205740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9D1C6-1CF0-A7F4-7399-08A21A46F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190159</xdr:colOff>
      <xdr:row>0</xdr:row>
      <xdr:rowOff>8728</xdr:rowOff>
    </xdr:from>
    <xdr:to>
      <xdr:col>33</xdr:col>
      <xdr:colOff>464479</xdr:colOff>
      <xdr:row>11</xdr:row>
      <xdr:rowOff>172080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0867F-A411-6FF8-1F97-BCB3A6A4E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379304</xdr:colOff>
      <xdr:row>1</xdr:row>
      <xdr:rowOff>120237</xdr:rowOff>
    </xdr:from>
    <xdr:to>
      <xdr:col>27</xdr:col>
      <xdr:colOff>323312</xdr:colOff>
      <xdr:row>18</xdr:row>
      <xdr:rowOff>3746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590EE3-8F45-4711-D22F-ACD7DA822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242300</xdr:colOff>
      <xdr:row>18</xdr:row>
      <xdr:rowOff>153554</xdr:rowOff>
    </xdr:from>
    <xdr:to>
      <xdr:col>33</xdr:col>
      <xdr:colOff>570699</xdr:colOff>
      <xdr:row>34</xdr:row>
      <xdr:rowOff>35878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51F4C9-7B73-92AC-4864-C7DDA0742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572986</xdr:colOff>
      <xdr:row>24</xdr:row>
      <xdr:rowOff>125262</xdr:rowOff>
    </xdr:from>
    <xdr:to>
      <xdr:col>21</xdr:col>
      <xdr:colOff>114821</xdr:colOff>
      <xdr:row>48</xdr:row>
      <xdr:rowOff>87002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4C1733-7FCA-61EB-71AB-3273A3560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591457</xdr:colOff>
      <xdr:row>27</xdr:row>
      <xdr:rowOff>159658</xdr:rowOff>
    </xdr:from>
    <xdr:to>
      <xdr:col>23</xdr:col>
      <xdr:colOff>358191</xdr:colOff>
      <xdr:row>42</xdr:row>
      <xdr:rowOff>103674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C51BFA-E06B-2688-00B4-AB24D8958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498256</xdr:colOff>
      <xdr:row>17</xdr:row>
      <xdr:rowOff>56194</xdr:rowOff>
    </xdr:from>
    <xdr:to>
      <xdr:col>23</xdr:col>
      <xdr:colOff>226860</xdr:colOff>
      <xdr:row>31</xdr:row>
      <xdr:rowOff>168928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73A574-58BC-9EEF-6C21-A3EA4A74E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82550</xdr:colOff>
      <xdr:row>2</xdr:row>
      <xdr:rowOff>171450</xdr:rowOff>
    </xdr:from>
    <xdr:to>
      <xdr:col>17</xdr:col>
      <xdr:colOff>603250</xdr:colOff>
      <xdr:row>18</xdr:row>
      <xdr:rowOff>69850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A5DE5D-56AA-A079-3695-149335AA0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869950</xdr:colOff>
      <xdr:row>5</xdr:row>
      <xdr:rowOff>95250</xdr:rowOff>
    </xdr:from>
    <xdr:to>
      <xdr:col>19</xdr:col>
      <xdr:colOff>171450</xdr:colOff>
      <xdr:row>20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6FE7B1-7187-354A-8E51-13E29AF2E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"/>
  <sheetViews>
    <sheetView zoomScale="66" zoomScaleNormal="93" workbookViewId="0">
      <selection activeCell="U3" sqref="U3:V8"/>
    </sheetView>
  </sheetViews>
  <sheetFormatPr defaultRowHeight="14.4" x14ac:dyDescent="0.3"/>
  <cols>
    <col min="1" max="1" width="17.6640625" customWidth="1"/>
    <col min="2" max="2" width="15.33203125" customWidth="1"/>
    <col min="3" max="3" width="16.88671875" customWidth="1"/>
    <col min="4" max="4" width="19.44140625" customWidth="1"/>
    <col min="5" max="5" width="19.5546875" customWidth="1"/>
    <col min="8" max="8" width="11.6640625" bestFit="1" customWidth="1"/>
    <col min="9" max="11" width="9.6640625" bestFit="1" customWidth="1"/>
    <col min="21" max="21" width="11.77734375" bestFit="1" customWidth="1"/>
    <col min="22" max="22" width="9.6640625" bestFit="1" customWidth="1"/>
  </cols>
  <sheetData>
    <row r="1" spans="1:22" x14ac:dyDescent="0.3">
      <c r="A1" s="19" t="s">
        <v>21</v>
      </c>
      <c r="B1" s="19"/>
      <c r="C1" s="19"/>
      <c r="D1" s="19"/>
      <c r="E1" s="19"/>
    </row>
    <row r="2" spans="1:22" x14ac:dyDescent="0.3">
      <c r="A2" s="19" t="s">
        <v>0</v>
      </c>
      <c r="B2" s="19" t="s">
        <v>22</v>
      </c>
      <c r="C2" s="19"/>
      <c r="D2" s="19" t="s">
        <v>23</v>
      </c>
      <c r="E2" s="19"/>
    </row>
    <row r="3" spans="1:22" x14ac:dyDescent="0.3">
      <c r="A3" s="19"/>
      <c r="B3" s="1" t="s">
        <v>1</v>
      </c>
      <c r="C3" s="1" t="s">
        <v>2</v>
      </c>
      <c r="D3" s="1" t="s">
        <v>3</v>
      </c>
      <c r="E3" s="1" t="s">
        <v>4</v>
      </c>
      <c r="U3" s="6" t="s">
        <v>51</v>
      </c>
      <c r="V3" s="6" t="s">
        <v>46</v>
      </c>
    </row>
    <row r="4" spans="1:22" x14ac:dyDescent="0.3">
      <c r="A4" s="1" t="s">
        <v>5</v>
      </c>
      <c r="B4" s="1">
        <v>724965</v>
      </c>
      <c r="C4" s="1">
        <v>9.1999999999999993</v>
      </c>
      <c r="D4" s="1">
        <v>666066</v>
      </c>
      <c r="E4" s="1">
        <v>8.56</v>
      </c>
      <c r="H4" t="s">
        <v>36</v>
      </c>
      <c r="U4" s="1" t="s">
        <v>21</v>
      </c>
      <c r="V4" s="1">
        <v>15778153</v>
      </c>
    </row>
    <row r="5" spans="1:22" x14ac:dyDescent="0.3">
      <c r="A5" s="1" t="s">
        <v>6</v>
      </c>
      <c r="B5" s="1">
        <v>803153</v>
      </c>
      <c r="C5" s="1">
        <v>10.19</v>
      </c>
      <c r="D5" s="1">
        <v>781315</v>
      </c>
      <c r="E5" s="1">
        <v>10.039999999999999</v>
      </c>
      <c r="U5" s="1" t="s">
        <v>25</v>
      </c>
      <c r="V5" s="1">
        <v>5862530</v>
      </c>
    </row>
    <row r="6" spans="1:22" x14ac:dyDescent="0.3">
      <c r="A6" s="1" t="s">
        <v>7</v>
      </c>
      <c r="B6" s="1">
        <v>867063</v>
      </c>
      <c r="C6" s="1">
        <v>11</v>
      </c>
      <c r="D6" s="1">
        <v>818015</v>
      </c>
      <c r="E6" s="1">
        <v>10.51</v>
      </c>
      <c r="H6" s="1" t="s">
        <v>51</v>
      </c>
      <c r="I6" s="1" t="s">
        <v>34</v>
      </c>
      <c r="J6" s="1" t="s">
        <v>35</v>
      </c>
      <c r="K6" s="1" t="s">
        <v>46</v>
      </c>
      <c r="U6" s="1" t="s">
        <v>31</v>
      </c>
      <c r="V6" s="1">
        <v>3324050</v>
      </c>
    </row>
    <row r="7" spans="1:22" x14ac:dyDescent="0.3">
      <c r="A7" s="1" t="s">
        <v>8</v>
      </c>
      <c r="B7" s="1">
        <v>860268</v>
      </c>
      <c r="C7" s="1">
        <v>10.91</v>
      </c>
      <c r="D7" s="1">
        <v>773938</v>
      </c>
      <c r="E7" s="1">
        <v>9.9499999999999993</v>
      </c>
      <c r="H7" s="1" t="str">
        <f>A1</f>
        <v>MANIPUR</v>
      </c>
      <c r="I7" s="1">
        <f>B20</f>
        <v>7922747</v>
      </c>
      <c r="J7" s="1">
        <f>D20</f>
        <v>7855406</v>
      </c>
      <c r="K7" s="1">
        <f>SUM(I7:J7)</f>
        <v>15778153</v>
      </c>
      <c r="U7" s="1" t="s">
        <v>32</v>
      </c>
      <c r="V7" s="1">
        <v>10019395</v>
      </c>
    </row>
    <row r="8" spans="1:22" x14ac:dyDescent="0.3">
      <c r="A8" s="1" t="s">
        <v>9</v>
      </c>
      <c r="B8" s="1">
        <v>759101</v>
      </c>
      <c r="C8" s="1">
        <v>9.64</v>
      </c>
      <c r="D8" s="1">
        <v>773883</v>
      </c>
      <c r="E8" s="1">
        <v>9.89</v>
      </c>
      <c r="H8" s="1" t="str">
        <f>A24</f>
        <v>MIZORAM</v>
      </c>
      <c r="I8" s="1">
        <f>B43</f>
        <v>2975025</v>
      </c>
      <c r="J8" s="1">
        <f>D43</f>
        <v>2887505</v>
      </c>
      <c r="K8" s="1">
        <f t="shared" ref="K8:K11" si="0">SUM(I8:J8)</f>
        <v>5862530</v>
      </c>
      <c r="U8" s="1" t="s">
        <v>33</v>
      </c>
      <c r="V8" s="1">
        <v>19556195</v>
      </c>
    </row>
    <row r="9" spans="1:22" x14ac:dyDescent="0.3">
      <c r="A9" s="1" t="s">
        <v>10</v>
      </c>
      <c r="B9" s="1">
        <v>742709</v>
      </c>
      <c r="C9" s="1">
        <v>9.42</v>
      </c>
      <c r="D9" s="1">
        <v>764680</v>
      </c>
      <c r="E9" s="1">
        <v>9.82</v>
      </c>
      <c r="H9" s="1" t="str">
        <f>A47</f>
        <v>SIKKIM</v>
      </c>
      <c r="I9" s="1">
        <f>B66</f>
        <v>1738066</v>
      </c>
      <c r="J9" s="1">
        <f>D66</f>
        <v>1585984</v>
      </c>
      <c r="K9" s="1">
        <f t="shared" si="0"/>
        <v>3324050</v>
      </c>
      <c r="U9" s="1" t="s">
        <v>46</v>
      </c>
      <c r="V9" s="1">
        <v>54540323</v>
      </c>
    </row>
    <row r="10" spans="1:22" x14ac:dyDescent="0.3">
      <c r="A10" s="1" t="s">
        <v>11</v>
      </c>
      <c r="B10" s="1">
        <v>603809</v>
      </c>
      <c r="C10" s="1">
        <v>7.62</v>
      </c>
      <c r="D10" s="1">
        <v>627438</v>
      </c>
      <c r="E10" s="1">
        <v>8.06</v>
      </c>
      <c r="H10" s="1" t="str">
        <f>A69</f>
        <v>MEGHALAYA</v>
      </c>
      <c r="I10" s="1">
        <f>B88</f>
        <v>5033991</v>
      </c>
      <c r="J10" s="1">
        <f>D88</f>
        <v>4985404</v>
      </c>
      <c r="K10" s="1">
        <f t="shared" si="0"/>
        <v>10019395</v>
      </c>
    </row>
    <row r="11" spans="1:22" x14ac:dyDescent="0.3">
      <c r="A11" s="1" t="s">
        <v>12</v>
      </c>
      <c r="B11" s="1">
        <v>539573</v>
      </c>
      <c r="C11" s="1">
        <v>6.85</v>
      </c>
      <c r="D11" s="1">
        <v>593571</v>
      </c>
      <c r="E11" s="1">
        <v>7.63</v>
      </c>
      <c r="H11" s="1" t="str">
        <f>A91</f>
        <v>TRIPURA</v>
      </c>
      <c r="I11" s="1">
        <f>B110</f>
        <v>9871616</v>
      </c>
      <c r="J11" s="1">
        <f>D110</f>
        <v>9684579</v>
      </c>
      <c r="K11" s="1">
        <f t="shared" si="0"/>
        <v>19556195</v>
      </c>
    </row>
    <row r="12" spans="1:22" x14ac:dyDescent="0.3">
      <c r="A12" s="1" t="s">
        <v>13</v>
      </c>
      <c r="B12" s="1">
        <v>483326</v>
      </c>
      <c r="C12" s="1">
        <v>6.13</v>
      </c>
      <c r="D12" s="1">
        <v>482314</v>
      </c>
      <c r="E12" s="1">
        <v>6.2</v>
      </c>
      <c r="H12" s="1" t="s">
        <v>46</v>
      </c>
      <c r="I12" s="1">
        <f>SUM(I7:I11)</f>
        <v>27541445</v>
      </c>
      <c r="J12" s="1">
        <f>SUM(J7:J11)</f>
        <v>26998878</v>
      </c>
      <c r="K12" s="1">
        <f>SUM(K7:K11)</f>
        <v>54540323</v>
      </c>
    </row>
    <row r="13" spans="1:22" x14ac:dyDescent="0.3">
      <c r="A13" s="1" t="s">
        <v>14</v>
      </c>
      <c r="B13" s="1">
        <v>414860</v>
      </c>
      <c r="C13" s="1">
        <v>5.31</v>
      </c>
      <c r="D13" s="1">
        <v>416777</v>
      </c>
      <c r="E13" s="1">
        <v>5.37</v>
      </c>
    </row>
    <row r="14" spans="1:22" x14ac:dyDescent="0.3">
      <c r="A14" s="1" t="s">
        <v>15</v>
      </c>
      <c r="B14" s="1">
        <v>343037</v>
      </c>
      <c r="C14" s="1">
        <v>4.3499999999999996</v>
      </c>
      <c r="D14" s="1">
        <v>344576</v>
      </c>
      <c r="E14" s="1">
        <v>4.43</v>
      </c>
    </row>
    <row r="15" spans="1:22" x14ac:dyDescent="0.3">
      <c r="A15" s="1" t="s">
        <v>16</v>
      </c>
      <c r="B15" s="1">
        <v>260980</v>
      </c>
      <c r="C15" s="1">
        <v>3.31</v>
      </c>
      <c r="D15" s="1">
        <v>255864</v>
      </c>
      <c r="E15" s="1">
        <v>3.29</v>
      </c>
      <c r="H15" t="s">
        <v>47</v>
      </c>
    </row>
    <row r="16" spans="1:22" x14ac:dyDescent="0.3">
      <c r="A16" s="1" t="s">
        <v>17</v>
      </c>
      <c r="B16" s="1">
        <v>200854</v>
      </c>
      <c r="C16" s="1">
        <v>2.64</v>
      </c>
      <c r="D16" s="1">
        <v>200492</v>
      </c>
      <c r="E16" s="1">
        <v>2.58</v>
      </c>
    </row>
    <row r="17" spans="1:11" x14ac:dyDescent="0.3">
      <c r="A17" s="1" t="s">
        <v>18</v>
      </c>
      <c r="B17" s="1">
        <v>126998</v>
      </c>
      <c r="C17" s="1">
        <v>1.61</v>
      </c>
      <c r="D17" s="1">
        <v>126469</v>
      </c>
      <c r="E17" s="1">
        <v>1.65</v>
      </c>
      <c r="H17" s="1" t="s">
        <v>0</v>
      </c>
      <c r="I17" s="1" t="s">
        <v>34</v>
      </c>
      <c r="J17" s="1" t="s">
        <v>35</v>
      </c>
      <c r="K17" s="1"/>
    </row>
    <row r="18" spans="1:11" x14ac:dyDescent="0.3">
      <c r="A18" s="1" t="s">
        <v>19</v>
      </c>
      <c r="B18" s="1">
        <v>88614</v>
      </c>
      <c r="C18" s="1">
        <v>1.1200000000000001</v>
      </c>
      <c r="D18" s="1">
        <v>94167</v>
      </c>
      <c r="E18" s="1">
        <v>1.21</v>
      </c>
      <c r="H18" s="1" t="s">
        <v>5</v>
      </c>
      <c r="I18" s="1">
        <f>B4+B27+B50+B72+B94</f>
        <v>2740205</v>
      </c>
      <c r="J18" s="1">
        <f>D4+D27+D50+D72+D94</f>
        <v>2607412</v>
      </c>
      <c r="K18" s="1">
        <f>SUM(I18:J18)</f>
        <v>5347617</v>
      </c>
    </row>
    <row r="19" spans="1:11" x14ac:dyDescent="0.3">
      <c r="A19" s="1" t="s">
        <v>20</v>
      </c>
      <c r="B19" s="1">
        <v>103437</v>
      </c>
      <c r="C19" s="1">
        <v>1.36</v>
      </c>
      <c r="D19" s="1">
        <v>135841</v>
      </c>
      <c r="E19" s="1">
        <v>1.74</v>
      </c>
      <c r="H19" s="1" t="s">
        <v>6</v>
      </c>
      <c r="I19" s="1">
        <f>B5+B28+B51+B73+B95</f>
        <v>2768364</v>
      </c>
      <c r="J19" s="1">
        <f>D5+D28+D51+D73+D95</f>
        <v>2691460</v>
      </c>
      <c r="K19" s="1">
        <f t="shared" ref="K19:K34" si="1">SUM(I19:J19)</f>
        <v>5459824</v>
      </c>
    </row>
    <row r="20" spans="1:11" x14ac:dyDescent="0.3">
      <c r="A20" s="1" t="s">
        <v>24</v>
      </c>
      <c r="B20" s="1">
        <f>SUM(B4:B19)</f>
        <v>7922747</v>
      </c>
      <c r="C20" s="1">
        <f>SUM(C4:C19)</f>
        <v>100.66</v>
      </c>
      <c r="D20" s="1">
        <f>SUM(D4:D19)</f>
        <v>7855406</v>
      </c>
      <c r="E20" s="1">
        <f>SUM(E4:E19)</f>
        <v>100.93</v>
      </c>
      <c r="H20" s="1" t="s">
        <v>7</v>
      </c>
      <c r="I20" s="1">
        <f t="shared" ref="I20:I33" si="2">B6+B29+B52+B74+B96</f>
        <v>2811565</v>
      </c>
      <c r="J20" s="1">
        <f t="shared" ref="J20:J33" si="3">D6+D29+D52+D74+D96</f>
        <v>2713052</v>
      </c>
      <c r="K20" s="1">
        <f t="shared" si="1"/>
        <v>5524617</v>
      </c>
    </row>
    <row r="21" spans="1:11" x14ac:dyDescent="0.3">
      <c r="H21" s="1" t="s">
        <v>8</v>
      </c>
      <c r="I21" s="1">
        <f t="shared" si="2"/>
        <v>2810113</v>
      </c>
      <c r="J21" s="1">
        <f t="shared" si="3"/>
        <v>2722659</v>
      </c>
      <c r="K21" s="1">
        <f t="shared" si="1"/>
        <v>5532772</v>
      </c>
    </row>
    <row r="22" spans="1:11" x14ac:dyDescent="0.3">
      <c r="H22" s="1" t="s">
        <v>9</v>
      </c>
      <c r="I22" s="1">
        <f t="shared" si="2"/>
        <v>2772607</v>
      </c>
      <c r="J22" s="1">
        <f t="shared" si="3"/>
        <v>2789027</v>
      </c>
      <c r="K22" s="1">
        <f t="shared" si="1"/>
        <v>5561634</v>
      </c>
    </row>
    <row r="23" spans="1:11" x14ac:dyDescent="0.3">
      <c r="H23" s="1" t="s">
        <v>10</v>
      </c>
      <c r="I23" s="1">
        <f t="shared" si="2"/>
        <v>2597722</v>
      </c>
      <c r="J23" s="1">
        <f t="shared" si="3"/>
        <v>2584160</v>
      </c>
      <c r="K23" s="1">
        <f t="shared" si="1"/>
        <v>5181882</v>
      </c>
    </row>
    <row r="24" spans="1:11" x14ac:dyDescent="0.3">
      <c r="A24" s="19" t="s">
        <v>25</v>
      </c>
      <c r="B24" s="19"/>
      <c r="C24" s="19"/>
      <c r="D24" s="19"/>
      <c r="E24" s="19"/>
      <c r="H24" s="1" t="s">
        <v>11</v>
      </c>
      <c r="I24" s="1">
        <f t="shared" si="2"/>
        <v>2200092</v>
      </c>
      <c r="J24" s="1">
        <f t="shared" si="3"/>
        <v>2189502</v>
      </c>
      <c r="K24" s="1">
        <f t="shared" si="1"/>
        <v>4389594</v>
      </c>
    </row>
    <row r="25" spans="1:11" x14ac:dyDescent="0.3">
      <c r="A25" s="19" t="s">
        <v>26</v>
      </c>
      <c r="B25" s="19" t="s">
        <v>22</v>
      </c>
      <c r="C25" s="19"/>
      <c r="D25" s="19" t="s">
        <v>27</v>
      </c>
      <c r="E25" s="19"/>
      <c r="H25" s="1" t="s">
        <v>12</v>
      </c>
      <c r="I25" s="1">
        <f t="shared" si="2"/>
        <v>1913468</v>
      </c>
      <c r="J25" s="1">
        <f t="shared" si="3"/>
        <v>1899935</v>
      </c>
      <c r="K25" s="1">
        <f t="shared" si="1"/>
        <v>3813403</v>
      </c>
    </row>
    <row r="26" spans="1:11" x14ac:dyDescent="0.3">
      <c r="A26" s="19"/>
      <c r="B26" s="1" t="s">
        <v>28</v>
      </c>
      <c r="C26" s="1" t="s">
        <v>29</v>
      </c>
      <c r="D26" s="1" t="s">
        <v>30</v>
      </c>
      <c r="E26" s="1" t="s">
        <v>29</v>
      </c>
      <c r="H26" s="1" t="s">
        <v>13</v>
      </c>
      <c r="I26" s="1">
        <f t="shared" si="2"/>
        <v>1667442</v>
      </c>
      <c r="J26" s="1">
        <f t="shared" si="3"/>
        <v>1616660</v>
      </c>
      <c r="K26" s="1">
        <f t="shared" si="1"/>
        <v>3284102</v>
      </c>
    </row>
    <row r="27" spans="1:11" x14ac:dyDescent="0.3">
      <c r="A27" s="1" t="s">
        <v>5</v>
      </c>
      <c r="B27" s="1">
        <v>327628</v>
      </c>
      <c r="C27" s="1">
        <v>11.07</v>
      </c>
      <c r="D27" s="1">
        <v>318013</v>
      </c>
      <c r="E27" s="1">
        <v>10.86</v>
      </c>
      <c r="H27" s="1" t="s">
        <v>14</v>
      </c>
      <c r="I27" s="1">
        <f t="shared" si="2"/>
        <v>1431267</v>
      </c>
      <c r="J27" s="1">
        <f t="shared" si="3"/>
        <v>1390419</v>
      </c>
      <c r="K27" s="1">
        <f t="shared" si="1"/>
        <v>2821686</v>
      </c>
    </row>
    <row r="28" spans="1:11" x14ac:dyDescent="0.3">
      <c r="A28" s="1" t="s">
        <v>6</v>
      </c>
      <c r="B28" s="1">
        <v>321219</v>
      </c>
      <c r="C28" s="1">
        <v>10.85</v>
      </c>
      <c r="D28" s="1">
        <v>310031</v>
      </c>
      <c r="E28" s="1">
        <v>10.67</v>
      </c>
      <c r="H28" s="1" t="s">
        <v>15</v>
      </c>
      <c r="I28" s="1">
        <f t="shared" si="2"/>
        <v>1169733</v>
      </c>
      <c r="J28" s="1">
        <f t="shared" si="3"/>
        <v>1106517</v>
      </c>
      <c r="K28" s="1">
        <f t="shared" si="1"/>
        <v>2276250</v>
      </c>
    </row>
    <row r="29" spans="1:11" x14ac:dyDescent="0.3">
      <c r="A29" s="1" t="s">
        <v>7</v>
      </c>
      <c r="B29" s="1">
        <v>305838</v>
      </c>
      <c r="C29" s="1">
        <v>10.34</v>
      </c>
      <c r="D29" s="1">
        <v>298739</v>
      </c>
      <c r="E29" s="1">
        <v>10.199999999999999</v>
      </c>
      <c r="H29" s="1" t="s">
        <v>16</v>
      </c>
      <c r="I29" s="1">
        <f t="shared" si="2"/>
        <v>850823</v>
      </c>
      <c r="J29" s="1">
        <f t="shared" si="3"/>
        <v>782961</v>
      </c>
      <c r="K29" s="1">
        <f t="shared" si="1"/>
        <v>1633784</v>
      </c>
    </row>
    <row r="30" spans="1:11" x14ac:dyDescent="0.3">
      <c r="A30" s="1" t="s">
        <v>8</v>
      </c>
      <c r="B30" s="1">
        <v>291587</v>
      </c>
      <c r="C30" s="1">
        <v>9.85</v>
      </c>
      <c r="D30" s="1">
        <v>280011</v>
      </c>
      <c r="E30" s="1">
        <v>9.35</v>
      </c>
      <c r="H30" s="1" t="s">
        <v>17</v>
      </c>
      <c r="I30" s="1">
        <f t="shared" si="2"/>
        <v>662607</v>
      </c>
      <c r="J30" s="1">
        <f t="shared" si="3"/>
        <v>647652</v>
      </c>
      <c r="K30" s="1">
        <f t="shared" si="1"/>
        <v>1310259</v>
      </c>
    </row>
    <row r="31" spans="1:11" x14ac:dyDescent="0.3">
      <c r="A31" s="1" t="s">
        <v>9</v>
      </c>
      <c r="B31" s="1">
        <v>291587</v>
      </c>
      <c r="C31" s="1">
        <v>9.85</v>
      </c>
      <c r="D31" s="1">
        <v>280011</v>
      </c>
      <c r="E31" s="1">
        <v>9.35</v>
      </c>
      <c r="H31" s="1" t="s">
        <v>18</v>
      </c>
      <c r="I31" s="1">
        <f t="shared" si="2"/>
        <v>445572</v>
      </c>
      <c r="J31" s="1">
        <f t="shared" si="3"/>
        <v>453734</v>
      </c>
      <c r="K31" s="1">
        <f t="shared" si="1"/>
        <v>899306</v>
      </c>
    </row>
    <row r="32" spans="1:11" x14ac:dyDescent="0.3">
      <c r="A32" s="1" t="s">
        <v>10</v>
      </c>
      <c r="B32" s="1">
        <v>281186</v>
      </c>
      <c r="C32" s="1">
        <v>9.51</v>
      </c>
      <c r="D32" s="1">
        <v>269022</v>
      </c>
      <c r="E32" s="1">
        <v>9.18</v>
      </c>
      <c r="H32" s="1" t="s">
        <v>19</v>
      </c>
      <c r="I32" s="1">
        <f t="shared" si="2"/>
        <v>314711</v>
      </c>
      <c r="J32" s="1">
        <f t="shared" si="3"/>
        <v>331877</v>
      </c>
      <c r="K32" s="1">
        <f t="shared" si="1"/>
        <v>646588</v>
      </c>
    </row>
    <row r="33" spans="1:11" x14ac:dyDescent="0.3">
      <c r="A33" s="1" t="s">
        <v>11</v>
      </c>
      <c r="B33" s="1">
        <v>245409</v>
      </c>
      <c r="C33" s="1">
        <v>8.3000000000000007</v>
      </c>
      <c r="D33" s="1">
        <v>238603</v>
      </c>
      <c r="E33" s="1">
        <v>8.11</v>
      </c>
      <c r="H33" s="1" t="s">
        <v>20</v>
      </c>
      <c r="I33" s="1">
        <f t="shared" si="2"/>
        <v>385154</v>
      </c>
      <c r="J33" s="1">
        <f t="shared" si="3"/>
        <v>471851</v>
      </c>
      <c r="K33" s="1">
        <f t="shared" si="1"/>
        <v>857005</v>
      </c>
    </row>
    <row r="34" spans="1:11" x14ac:dyDescent="0.3">
      <c r="A34" s="1" t="s">
        <v>12</v>
      </c>
      <c r="B34" s="1">
        <v>195063</v>
      </c>
      <c r="C34" s="1">
        <v>6.59</v>
      </c>
      <c r="D34" s="1">
        <v>190713</v>
      </c>
      <c r="E34" s="1">
        <v>6.51</v>
      </c>
      <c r="H34" s="1" t="s">
        <v>24</v>
      </c>
      <c r="I34" s="1">
        <f>SUM(I18:I33)</f>
        <v>27541445</v>
      </c>
      <c r="J34" s="1">
        <f>SUM(J18:J33)</f>
        <v>26998878</v>
      </c>
      <c r="K34" s="1">
        <f t="shared" si="1"/>
        <v>54540323</v>
      </c>
    </row>
    <row r="35" spans="1:11" x14ac:dyDescent="0.3">
      <c r="A35" s="1" t="s">
        <v>13</v>
      </c>
      <c r="B35" s="1">
        <v>159943</v>
      </c>
      <c r="C35" s="1">
        <v>5.4</v>
      </c>
      <c r="D35" s="1">
        <v>152683</v>
      </c>
      <c r="E35" s="1">
        <v>5.21</v>
      </c>
    </row>
    <row r="36" spans="1:11" x14ac:dyDescent="0.3">
      <c r="A36" s="1" t="s">
        <v>14</v>
      </c>
      <c r="B36" s="1">
        <v>149964</v>
      </c>
      <c r="C36" s="1">
        <v>5.07</v>
      </c>
      <c r="D36" s="1">
        <v>148701</v>
      </c>
      <c r="E36" s="1">
        <v>5.1100000000000003</v>
      </c>
    </row>
    <row r="37" spans="1:11" x14ac:dyDescent="0.3">
      <c r="A37" s="1" t="s">
        <v>15</v>
      </c>
      <c r="B37" s="1">
        <v>124218</v>
      </c>
      <c r="C37" s="1">
        <v>4.2</v>
      </c>
      <c r="D37" s="1">
        <v>122974</v>
      </c>
      <c r="E37" s="1">
        <v>4.2</v>
      </c>
    </row>
    <row r="38" spans="1:11" x14ac:dyDescent="0.3">
      <c r="A38" s="1" t="s">
        <v>16</v>
      </c>
      <c r="B38" s="1">
        <v>90935</v>
      </c>
      <c r="C38" s="1">
        <v>3.07</v>
      </c>
      <c r="D38" s="1">
        <v>86457</v>
      </c>
      <c r="E38" s="1">
        <v>2.95</v>
      </c>
    </row>
    <row r="39" spans="1:11" x14ac:dyDescent="0.3">
      <c r="A39" s="1" t="s">
        <v>17</v>
      </c>
      <c r="B39" s="1">
        <v>69253</v>
      </c>
      <c r="C39" s="1">
        <v>2.34</v>
      </c>
      <c r="D39" s="1">
        <v>68674</v>
      </c>
      <c r="E39" s="1">
        <v>2.34</v>
      </c>
    </row>
    <row r="40" spans="1:11" x14ac:dyDescent="0.3">
      <c r="A40" s="1" t="s">
        <v>18</v>
      </c>
      <c r="B40" s="1">
        <v>44088</v>
      </c>
      <c r="C40" s="1">
        <v>1.49</v>
      </c>
      <c r="D40" s="1">
        <v>44350</v>
      </c>
      <c r="E40" s="1">
        <v>1.51</v>
      </c>
    </row>
    <row r="41" spans="1:11" x14ac:dyDescent="0.3">
      <c r="A41" s="1" t="s">
        <v>19</v>
      </c>
      <c r="B41" s="1">
        <v>33120</v>
      </c>
      <c r="C41" s="1">
        <v>1.1200000000000001</v>
      </c>
      <c r="D41" s="1">
        <v>32390</v>
      </c>
      <c r="E41" s="1">
        <v>1.1000000000000001</v>
      </c>
    </row>
    <row r="42" spans="1:11" x14ac:dyDescent="0.3">
      <c r="A42" s="1" t="s">
        <v>20</v>
      </c>
      <c r="B42" s="1">
        <v>43987</v>
      </c>
      <c r="C42" s="1">
        <v>1.49</v>
      </c>
      <c r="D42" s="1">
        <v>46133</v>
      </c>
      <c r="E42" s="1">
        <v>1.57</v>
      </c>
    </row>
    <row r="43" spans="1:11" x14ac:dyDescent="0.3">
      <c r="A43" s="1" t="s">
        <v>24</v>
      </c>
      <c r="B43" s="1">
        <f>SUM(B27:B42)</f>
        <v>2975025</v>
      </c>
      <c r="C43" s="1">
        <f>SUM(C27:C42)</f>
        <v>100.54</v>
      </c>
      <c r="D43" s="1">
        <f>SUM(D27:D42)</f>
        <v>2887505</v>
      </c>
      <c r="E43" s="1">
        <f>SUM(E27:E42)</f>
        <v>98.22</v>
      </c>
    </row>
    <row r="47" spans="1:11" x14ac:dyDescent="0.3">
      <c r="A47" s="19" t="s">
        <v>31</v>
      </c>
      <c r="B47" s="19"/>
      <c r="C47" s="19"/>
      <c r="D47" s="19"/>
      <c r="E47" s="19"/>
    </row>
    <row r="48" spans="1:11" x14ac:dyDescent="0.3">
      <c r="A48" s="19" t="s">
        <v>26</v>
      </c>
      <c r="B48" s="19" t="s">
        <v>22</v>
      </c>
      <c r="C48" s="19"/>
      <c r="D48" s="19" t="s">
        <v>27</v>
      </c>
      <c r="E48" s="19"/>
    </row>
    <row r="49" spans="1:5" x14ac:dyDescent="0.3">
      <c r="A49" s="19"/>
      <c r="B49" s="1" t="s">
        <v>1</v>
      </c>
      <c r="C49" s="1" t="s">
        <v>2</v>
      </c>
      <c r="D49" s="1" t="s">
        <v>3</v>
      </c>
      <c r="E49" s="1" t="s">
        <v>4</v>
      </c>
    </row>
    <row r="50" spans="1:5" x14ac:dyDescent="0.3">
      <c r="A50" s="1" t="s">
        <v>5</v>
      </c>
      <c r="B50" s="1">
        <v>99330</v>
      </c>
      <c r="C50" s="1">
        <v>5.92</v>
      </c>
      <c r="D50" s="1">
        <v>94504</v>
      </c>
      <c r="E50" s="1">
        <v>6.29</v>
      </c>
    </row>
    <row r="51" spans="1:5" x14ac:dyDescent="0.3">
      <c r="A51" s="1" t="s">
        <v>6</v>
      </c>
      <c r="B51" s="1">
        <v>136349</v>
      </c>
      <c r="C51" s="1">
        <v>8.1300000000000008</v>
      </c>
      <c r="D51" s="1">
        <v>131048</v>
      </c>
      <c r="E51" s="1">
        <v>8.73</v>
      </c>
    </row>
    <row r="52" spans="1:5" x14ac:dyDescent="0.3">
      <c r="A52" s="1" t="s">
        <v>7</v>
      </c>
      <c r="B52" s="1">
        <v>165266</v>
      </c>
      <c r="C52" s="1">
        <v>9.85</v>
      </c>
      <c r="D52" s="1">
        <v>160879</v>
      </c>
      <c r="E52" s="1">
        <v>11.03</v>
      </c>
    </row>
    <row r="53" spans="1:5" x14ac:dyDescent="0.3">
      <c r="A53" s="1" t="s">
        <v>8</v>
      </c>
      <c r="B53" s="1">
        <v>179520</v>
      </c>
      <c r="C53" s="1">
        <v>10.72</v>
      </c>
      <c r="D53" s="1">
        <v>177112</v>
      </c>
      <c r="E53" s="1">
        <v>11.77</v>
      </c>
    </row>
    <row r="54" spans="1:5" x14ac:dyDescent="0.3">
      <c r="A54" s="1" t="s">
        <v>9</v>
      </c>
      <c r="B54" s="1">
        <v>181661</v>
      </c>
      <c r="C54" s="1">
        <v>10.83</v>
      </c>
      <c r="D54" s="1">
        <v>177002</v>
      </c>
      <c r="E54" s="1">
        <v>11.77</v>
      </c>
    </row>
    <row r="55" spans="1:5" x14ac:dyDescent="0.3">
      <c r="A55" s="1" t="s">
        <v>10</v>
      </c>
      <c r="B55" s="1">
        <v>190982</v>
      </c>
      <c r="C55" s="1">
        <v>11.38</v>
      </c>
      <c r="D55" s="1">
        <v>169248</v>
      </c>
      <c r="E55" s="1">
        <v>11.25</v>
      </c>
    </row>
    <row r="56" spans="1:5" x14ac:dyDescent="0.3">
      <c r="A56" s="1" t="s">
        <v>11</v>
      </c>
      <c r="B56" s="1">
        <v>184111</v>
      </c>
      <c r="C56" s="1">
        <v>10.97</v>
      </c>
      <c r="D56" s="1">
        <v>169996</v>
      </c>
      <c r="E56" s="1">
        <v>11.31</v>
      </c>
    </row>
    <row r="57" spans="1:5" x14ac:dyDescent="0.3">
      <c r="A57" s="1" t="s">
        <v>12</v>
      </c>
      <c r="B57" s="1">
        <v>151808</v>
      </c>
      <c r="C57" s="1">
        <v>9.0500000000000007</v>
      </c>
      <c r="D57" s="1">
        <v>146389</v>
      </c>
      <c r="E57" s="1">
        <v>9.75</v>
      </c>
    </row>
    <row r="58" spans="1:5" x14ac:dyDescent="0.3">
      <c r="A58" s="1" t="s">
        <v>13</v>
      </c>
      <c r="B58" s="1">
        <v>108144</v>
      </c>
      <c r="C58" s="1">
        <v>6.45</v>
      </c>
      <c r="D58" s="1">
        <v>90214</v>
      </c>
      <c r="E58" s="1">
        <v>6.01</v>
      </c>
    </row>
    <row r="59" spans="1:5" x14ac:dyDescent="0.3">
      <c r="A59" s="1" t="s">
        <v>14</v>
      </c>
      <c r="B59" s="1">
        <v>86676</v>
      </c>
      <c r="C59" s="1">
        <v>5.17</v>
      </c>
      <c r="D59" s="1">
        <v>74214</v>
      </c>
      <c r="E59" s="1">
        <v>4.99</v>
      </c>
    </row>
    <row r="60" spans="1:5" x14ac:dyDescent="0.3">
      <c r="A60" s="1" t="s">
        <v>15</v>
      </c>
      <c r="B60" s="1">
        <v>75277</v>
      </c>
      <c r="C60" s="1">
        <v>4.49</v>
      </c>
      <c r="D60" s="1">
        <v>60899</v>
      </c>
      <c r="E60" s="1">
        <v>4.0599999999999996</v>
      </c>
    </row>
    <row r="61" spans="1:5" x14ac:dyDescent="0.3">
      <c r="A61" s="1" t="s">
        <v>16</v>
      </c>
      <c r="B61" s="1">
        <v>54918</v>
      </c>
      <c r="C61" s="1">
        <v>3.27</v>
      </c>
      <c r="D61" s="1">
        <v>31988</v>
      </c>
      <c r="E61" s="1">
        <v>2.08</v>
      </c>
    </row>
    <row r="62" spans="1:5" x14ac:dyDescent="0.3">
      <c r="A62" s="1" t="s">
        <v>17</v>
      </c>
      <c r="B62" s="1">
        <v>40377</v>
      </c>
      <c r="C62" s="1">
        <v>2.41</v>
      </c>
      <c r="D62" s="1">
        <v>33400</v>
      </c>
      <c r="E62" s="1">
        <v>2.2200000000000002</v>
      </c>
    </row>
    <row r="63" spans="1:5" x14ac:dyDescent="0.3">
      <c r="A63" s="1" t="s">
        <v>18</v>
      </c>
      <c r="B63" s="1">
        <v>30363</v>
      </c>
      <c r="C63" s="1">
        <v>1.83</v>
      </c>
      <c r="D63" s="1">
        <v>27484</v>
      </c>
      <c r="E63" s="1">
        <v>1.83</v>
      </c>
    </row>
    <row r="64" spans="1:5" x14ac:dyDescent="0.3">
      <c r="A64" s="1" t="s">
        <v>19</v>
      </c>
      <c r="B64" s="1">
        <v>23704</v>
      </c>
      <c r="C64" s="1">
        <v>1.41</v>
      </c>
      <c r="D64" s="1">
        <v>18266</v>
      </c>
      <c r="E64" s="1">
        <v>1.22</v>
      </c>
    </row>
    <row r="65" spans="1:5" x14ac:dyDescent="0.3">
      <c r="A65" s="1" t="s">
        <v>20</v>
      </c>
      <c r="B65" s="1">
        <v>29580</v>
      </c>
      <c r="C65" s="1">
        <v>1.76</v>
      </c>
      <c r="D65" s="1">
        <v>23341</v>
      </c>
      <c r="E65" s="1">
        <v>1.55</v>
      </c>
    </row>
    <row r="66" spans="1:5" x14ac:dyDescent="0.3">
      <c r="A66" s="1" t="s">
        <v>24</v>
      </c>
      <c r="B66" s="1">
        <f>SUM(B50:B65)</f>
        <v>1738066</v>
      </c>
      <c r="C66" s="1">
        <f>SUM(C50:C65)</f>
        <v>103.63999999999999</v>
      </c>
      <c r="D66" s="1">
        <f>SUM(D50:D65)</f>
        <v>1585984</v>
      </c>
      <c r="E66" s="1">
        <f>SUM(E50:E65)</f>
        <v>105.85999999999999</v>
      </c>
    </row>
    <row r="69" spans="1:5" x14ac:dyDescent="0.3">
      <c r="A69" s="19" t="s">
        <v>32</v>
      </c>
      <c r="B69" s="19"/>
      <c r="C69" s="19"/>
      <c r="D69" s="19"/>
      <c r="E69" s="19"/>
    </row>
    <row r="70" spans="1:5" x14ac:dyDescent="0.3">
      <c r="A70" s="19" t="s">
        <v>0</v>
      </c>
      <c r="B70" s="19" t="s">
        <v>22</v>
      </c>
      <c r="C70" s="19"/>
      <c r="D70" s="19" t="s">
        <v>27</v>
      </c>
      <c r="E70" s="19"/>
    </row>
    <row r="71" spans="1:5" x14ac:dyDescent="0.3">
      <c r="A71" s="19"/>
      <c r="B71" s="1" t="s">
        <v>1</v>
      </c>
      <c r="C71" s="1" t="s">
        <v>2</v>
      </c>
      <c r="D71" s="1" t="s">
        <v>3</v>
      </c>
      <c r="E71" s="1" t="s">
        <v>4</v>
      </c>
    </row>
    <row r="72" spans="1:5" x14ac:dyDescent="0.3">
      <c r="A72" s="1" t="s">
        <v>5</v>
      </c>
      <c r="B72" s="1">
        <v>738889</v>
      </c>
      <c r="C72" s="1">
        <v>14.59</v>
      </c>
      <c r="D72" s="1">
        <v>713967</v>
      </c>
      <c r="E72" s="1">
        <v>14.05</v>
      </c>
    </row>
    <row r="73" spans="1:5" x14ac:dyDescent="0.3">
      <c r="A73" s="1" t="s">
        <v>6</v>
      </c>
      <c r="B73" s="1">
        <v>670944</v>
      </c>
      <c r="C73" s="1">
        <v>13.25</v>
      </c>
      <c r="D73" s="1">
        <v>648664</v>
      </c>
      <c r="E73" s="1">
        <v>12.77</v>
      </c>
    </row>
    <row r="74" spans="1:5" x14ac:dyDescent="0.3">
      <c r="A74" s="1" t="s">
        <v>7</v>
      </c>
      <c r="B74" s="1">
        <v>615429</v>
      </c>
      <c r="C74" s="1">
        <v>12.15</v>
      </c>
      <c r="D74" s="1">
        <v>582371</v>
      </c>
      <c r="E74" s="1">
        <v>11.46</v>
      </c>
    </row>
    <row r="75" spans="1:5" x14ac:dyDescent="0.3">
      <c r="A75" s="1" t="s">
        <v>8</v>
      </c>
      <c r="B75" s="1">
        <v>560842</v>
      </c>
      <c r="C75" s="1">
        <v>11.08</v>
      </c>
      <c r="D75" s="1">
        <v>550891</v>
      </c>
      <c r="E75" s="1">
        <v>10.84</v>
      </c>
    </row>
    <row r="76" spans="1:5" x14ac:dyDescent="0.3">
      <c r="A76" s="1" t="s">
        <v>9</v>
      </c>
      <c r="B76" s="1">
        <v>500482</v>
      </c>
      <c r="C76" s="1">
        <v>9.8800000000000008</v>
      </c>
      <c r="D76" s="1">
        <v>514334</v>
      </c>
      <c r="E76" s="1">
        <v>10.119999999999999</v>
      </c>
    </row>
    <row r="77" spans="1:5" x14ac:dyDescent="0.3">
      <c r="A77" s="1" t="s">
        <v>10</v>
      </c>
      <c r="B77" s="1">
        <v>437798</v>
      </c>
      <c r="C77" s="1">
        <v>8.65</v>
      </c>
      <c r="D77" s="1">
        <v>434525</v>
      </c>
      <c r="E77" s="1">
        <v>8.5500000000000007</v>
      </c>
    </row>
    <row r="78" spans="1:5" x14ac:dyDescent="0.3">
      <c r="A78" s="1" t="s">
        <v>11</v>
      </c>
      <c r="B78" s="1">
        <v>330981</v>
      </c>
      <c r="C78" s="1">
        <v>6.54</v>
      </c>
      <c r="D78" s="1">
        <v>330561</v>
      </c>
      <c r="E78" s="1">
        <v>6.51</v>
      </c>
    </row>
    <row r="79" spans="1:5" x14ac:dyDescent="0.3">
      <c r="A79" s="1" t="s">
        <v>12</v>
      </c>
      <c r="B79" s="1">
        <v>287377</v>
      </c>
      <c r="C79" s="1">
        <v>5.68</v>
      </c>
      <c r="D79" s="1">
        <v>249846</v>
      </c>
      <c r="E79" s="1">
        <v>5.81</v>
      </c>
    </row>
    <row r="80" spans="1:5" x14ac:dyDescent="0.3">
      <c r="A80" s="1" t="s">
        <v>13</v>
      </c>
      <c r="B80" s="1">
        <v>241463</v>
      </c>
      <c r="C80" s="1">
        <v>4.7699999999999996</v>
      </c>
      <c r="D80" s="1">
        <v>248285</v>
      </c>
      <c r="E80" s="1">
        <v>4.8899999999999997</v>
      </c>
    </row>
    <row r="81" spans="1:5" x14ac:dyDescent="0.3">
      <c r="A81" s="1" t="s">
        <v>14</v>
      </c>
      <c r="B81" s="1">
        <v>200119</v>
      </c>
      <c r="C81" s="1">
        <v>3.95</v>
      </c>
      <c r="D81" s="1">
        <v>200539</v>
      </c>
      <c r="E81" s="1">
        <v>3.95</v>
      </c>
    </row>
    <row r="82" spans="1:5" x14ac:dyDescent="0.3">
      <c r="A82" s="1" t="s">
        <v>15</v>
      </c>
      <c r="B82" s="1">
        <v>144134</v>
      </c>
      <c r="C82" s="1">
        <v>2.84</v>
      </c>
      <c r="D82" s="1">
        <v>147216</v>
      </c>
      <c r="E82" s="1">
        <v>2.9</v>
      </c>
    </row>
    <row r="83" spans="1:5" x14ac:dyDescent="0.3">
      <c r="A83" s="1" t="s">
        <v>16</v>
      </c>
      <c r="B83" s="1">
        <v>96056</v>
      </c>
      <c r="C83" s="1">
        <v>1.9</v>
      </c>
      <c r="D83" s="1">
        <v>100286</v>
      </c>
      <c r="E83" s="1">
        <v>1.97</v>
      </c>
    </row>
    <row r="84" spans="1:5" x14ac:dyDescent="0.3">
      <c r="A84" s="1" t="s">
        <v>17</v>
      </c>
      <c r="B84" s="1">
        <v>79320</v>
      </c>
      <c r="C84" s="1">
        <v>1.57</v>
      </c>
      <c r="D84" s="1">
        <v>87234</v>
      </c>
      <c r="E84" s="1">
        <v>1.72</v>
      </c>
    </row>
    <row r="85" spans="1:5" x14ac:dyDescent="0.3">
      <c r="A85" s="1" t="s">
        <v>18</v>
      </c>
      <c r="B85" s="1">
        <v>51905</v>
      </c>
      <c r="C85" s="1">
        <v>1.03</v>
      </c>
      <c r="D85" s="1">
        <v>63112</v>
      </c>
      <c r="E85" s="1">
        <v>1.24</v>
      </c>
    </row>
    <row r="86" spans="1:5" x14ac:dyDescent="0.3">
      <c r="A86" s="1" t="s">
        <v>19</v>
      </c>
      <c r="B86" s="1">
        <v>36161</v>
      </c>
      <c r="C86" s="1">
        <v>0.71</v>
      </c>
      <c r="D86" s="1">
        <v>47223</v>
      </c>
      <c r="E86" s="1">
        <v>0.93</v>
      </c>
    </row>
    <row r="87" spans="1:5" x14ac:dyDescent="0.3">
      <c r="A87" s="1" t="s">
        <v>20</v>
      </c>
      <c r="B87" s="1">
        <v>42091</v>
      </c>
      <c r="C87" s="1">
        <v>0.83</v>
      </c>
      <c r="D87" s="1">
        <v>66350</v>
      </c>
      <c r="E87" s="1">
        <v>1.31</v>
      </c>
    </row>
    <row r="88" spans="1:5" x14ac:dyDescent="0.3">
      <c r="A88" s="1" t="s">
        <v>24</v>
      </c>
      <c r="B88" s="1">
        <f>SUM(B72:B87)</f>
        <v>5033991</v>
      </c>
      <c r="C88" s="1">
        <f>SUM(C72:C87)</f>
        <v>99.420000000000016</v>
      </c>
      <c r="D88" s="1">
        <f>SUM(D72:D87)</f>
        <v>4985404</v>
      </c>
      <c r="E88" s="1">
        <f>SUM(E72:E87)</f>
        <v>99.020000000000024</v>
      </c>
    </row>
    <row r="91" spans="1:5" x14ac:dyDescent="0.3">
      <c r="A91" s="19" t="s">
        <v>33</v>
      </c>
      <c r="B91" s="19"/>
      <c r="C91" s="19"/>
      <c r="D91" s="19"/>
      <c r="E91" s="19"/>
    </row>
    <row r="92" spans="1:5" x14ac:dyDescent="0.3">
      <c r="A92" s="19" t="s">
        <v>0</v>
      </c>
      <c r="B92" s="19" t="s">
        <v>22</v>
      </c>
      <c r="C92" s="19"/>
      <c r="D92" s="19" t="s">
        <v>27</v>
      </c>
      <c r="E92" s="19"/>
    </row>
    <row r="93" spans="1:5" x14ac:dyDescent="0.3">
      <c r="A93" s="19"/>
      <c r="B93" s="1" t="s">
        <v>1</v>
      </c>
      <c r="C93" s="1" t="s">
        <v>2</v>
      </c>
      <c r="D93" s="1" t="s">
        <v>3</v>
      </c>
      <c r="E93" s="1" t="s">
        <v>4</v>
      </c>
    </row>
    <row r="94" spans="1:5" x14ac:dyDescent="0.3">
      <c r="A94" s="1" t="s">
        <v>5</v>
      </c>
      <c r="B94" s="1">
        <v>849393</v>
      </c>
      <c r="C94" s="1">
        <v>8.67</v>
      </c>
      <c r="D94" s="1">
        <v>814862</v>
      </c>
      <c r="E94" s="1">
        <v>8.6300000000000008</v>
      </c>
    </row>
    <row r="95" spans="1:5" x14ac:dyDescent="0.3">
      <c r="A95" s="1" t="s">
        <v>6</v>
      </c>
      <c r="B95" s="1">
        <v>836699</v>
      </c>
      <c r="C95" s="1">
        <v>8.57</v>
      </c>
      <c r="D95" s="1">
        <v>820402</v>
      </c>
      <c r="E95" s="1">
        <v>8.5</v>
      </c>
    </row>
    <row r="96" spans="1:5" x14ac:dyDescent="0.3">
      <c r="A96" s="1" t="s">
        <v>7</v>
      </c>
      <c r="B96" s="1">
        <v>857969</v>
      </c>
      <c r="C96" s="1">
        <v>8.76</v>
      </c>
      <c r="D96" s="1">
        <v>853048</v>
      </c>
      <c r="E96" s="1">
        <v>9.0299999999999994</v>
      </c>
    </row>
    <row r="97" spans="1:5" x14ac:dyDescent="0.3">
      <c r="A97" s="1" t="s">
        <v>8</v>
      </c>
      <c r="B97" s="1">
        <v>917896</v>
      </c>
      <c r="C97" s="1">
        <v>9.3800000000000008</v>
      </c>
      <c r="D97" s="1">
        <v>940707</v>
      </c>
      <c r="E97" s="1">
        <v>9.9499999999999993</v>
      </c>
    </row>
    <row r="98" spans="1:5" x14ac:dyDescent="0.3">
      <c r="A98" s="1" t="s">
        <v>9</v>
      </c>
      <c r="B98" s="1">
        <v>1039776</v>
      </c>
      <c r="C98" s="1">
        <v>10.62</v>
      </c>
      <c r="D98" s="1">
        <v>1043797</v>
      </c>
      <c r="E98" s="1">
        <v>11.05</v>
      </c>
    </row>
    <row r="99" spans="1:5" x14ac:dyDescent="0.3">
      <c r="A99" s="1" t="s">
        <v>10</v>
      </c>
      <c r="B99" s="1">
        <v>945047</v>
      </c>
      <c r="C99" s="1">
        <v>9.65</v>
      </c>
      <c r="D99" s="1">
        <v>946685</v>
      </c>
      <c r="E99" s="1">
        <v>10.02</v>
      </c>
    </row>
    <row r="100" spans="1:5" x14ac:dyDescent="0.3">
      <c r="A100" s="1" t="s">
        <v>11</v>
      </c>
      <c r="B100" s="1">
        <v>835782</v>
      </c>
      <c r="C100" s="1">
        <v>8.5299999999999994</v>
      </c>
      <c r="D100" s="1">
        <v>822904</v>
      </c>
      <c r="E100" s="1">
        <v>8.7100000000000009</v>
      </c>
    </row>
    <row r="101" spans="1:5" x14ac:dyDescent="0.3">
      <c r="A101" s="1" t="s">
        <v>12</v>
      </c>
      <c r="B101" s="1">
        <v>739647</v>
      </c>
      <c r="C101" s="1">
        <v>7.55</v>
      </c>
      <c r="D101" s="1">
        <v>719416</v>
      </c>
      <c r="E101" s="1">
        <v>7.62</v>
      </c>
    </row>
    <row r="102" spans="1:5" x14ac:dyDescent="0.3">
      <c r="A102" s="1" t="s">
        <v>13</v>
      </c>
      <c r="B102" s="1">
        <v>674566</v>
      </c>
      <c r="C102" s="1">
        <v>6.89</v>
      </c>
      <c r="D102" s="1">
        <v>643164</v>
      </c>
      <c r="E102" s="1">
        <v>6.81</v>
      </c>
    </row>
    <row r="103" spans="1:5" x14ac:dyDescent="0.3">
      <c r="A103" s="1" t="s">
        <v>14</v>
      </c>
      <c r="B103" s="1">
        <v>579648</v>
      </c>
      <c r="C103" s="1">
        <v>5.92</v>
      </c>
      <c r="D103" s="1">
        <v>550188</v>
      </c>
      <c r="E103" s="1">
        <v>5.83</v>
      </c>
    </row>
    <row r="104" spans="1:5" x14ac:dyDescent="0.3">
      <c r="A104" s="1" t="s">
        <v>15</v>
      </c>
      <c r="B104" s="1">
        <v>483067</v>
      </c>
      <c r="C104" s="1">
        <v>4.93</v>
      </c>
      <c r="D104" s="1">
        <v>430852</v>
      </c>
      <c r="E104" s="1">
        <v>4.5599999999999996</v>
      </c>
    </row>
    <row r="105" spans="1:5" x14ac:dyDescent="0.3">
      <c r="A105" s="1" t="s">
        <v>16</v>
      </c>
      <c r="B105" s="1">
        <v>347934</v>
      </c>
      <c r="C105" s="1">
        <v>3.55</v>
      </c>
      <c r="D105" s="1">
        <v>308366</v>
      </c>
      <c r="E105" s="1">
        <v>3.27</v>
      </c>
    </row>
    <row r="106" spans="1:5" x14ac:dyDescent="0.3">
      <c r="A106" s="1" t="s">
        <v>17</v>
      </c>
      <c r="B106" s="1">
        <v>272803</v>
      </c>
      <c r="C106" s="1">
        <v>2.78</v>
      </c>
      <c r="D106" s="1">
        <v>257852</v>
      </c>
      <c r="E106" s="1">
        <v>2.73</v>
      </c>
    </row>
    <row r="107" spans="1:5" x14ac:dyDescent="0.3">
      <c r="A107" s="1" t="s">
        <v>18</v>
      </c>
      <c r="B107" s="1">
        <v>192218</v>
      </c>
      <c r="C107" s="1">
        <v>1.96</v>
      </c>
      <c r="D107" s="1">
        <v>192319</v>
      </c>
      <c r="E107" s="1">
        <v>2.04</v>
      </c>
    </row>
    <row r="108" spans="1:5" x14ac:dyDescent="0.3">
      <c r="A108" s="1" t="s">
        <v>19</v>
      </c>
      <c r="B108" s="1">
        <v>133112</v>
      </c>
      <c r="C108" s="1">
        <v>1.36</v>
      </c>
      <c r="D108" s="1">
        <v>139831</v>
      </c>
      <c r="E108" s="1">
        <v>1.48</v>
      </c>
    </row>
    <row r="109" spans="1:5" x14ac:dyDescent="0.3">
      <c r="A109" s="1" t="s">
        <v>20</v>
      </c>
      <c r="B109" s="1">
        <v>166059</v>
      </c>
      <c r="C109" s="1">
        <v>1.7</v>
      </c>
      <c r="D109" s="1">
        <v>200186</v>
      </c>
      <c r="E109" s="1">
        <v>2.12</v>
      </c>
    </row>
    <row r="110" spans="1:5" x14ac:dyDescent="0.3">
      <c r="A110" s="1" t="s">
        <v>24</v>
      </c>
      <c r="B110" s="1">
        <f>SUM(B94:B109)</f>
        <v>9871616</v>
      </c>
      <c r="C110" s="1">
        <f>SUM(C94:C109)</f>
        <v>100.82</v>
      </c>
      <c r="D110" s="1">
        <f>SUM(D94:D109)</f>
        <v>9684579</v>
      </c>
      <c r="E110" s="1">
        <f>SUM(E94:E109)</f>
        <v>102.35000000000001</v>
      </c>
    </row>
  </sheetData>
  <mergeCells count="20">
    <mergeCell ref="A47:E47"/>
    <mergeCell ref="A48:A49"/>
    <mergeCell ref="B48:C48"/>
    <mergeCell ref="D48:E48"/>
    <mergeCell ref="A1:E1"/>
    <mergeCell ref="A2:A3"/>
    <mergeCell ref="B2:C2"/>
    <mergeCell ref="D2:E2"/>
    <mergeCell ref="A24:E24"/>
    <mergeCell ref="A25:A26"/>
    <mergeCell ref="B25:C25"/>
    <mergeCell ref="D25:E25"/>
    <mergeCell ref="A92:A93"/>
    <mergeCell ref="B92:C92"/>
    <mergeCell ref="D92:E92"/>
    <mergeCell ref="A69:E69"/>
    <mergeCell ref="A70:A71"/>
    <mergeCell ref="B70:C70"/>
    <mergeCell ref="D70:E70"/>
    <mergeCell ref="A91:E9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F956-79DF-400B-90C9-9C35EDE52505}">
  <dimension ref="A1:N43"/>
  <sheetViews>
    <sheetView topLeftCell="A3" zoomScale="87" workbookViewId="0">
      <selection activeCell="M9" sqref="M9:N11"/>
    </sheetView>
  </sheetViews>
  <sheetFormatPr defaultRowHeight="14.4" x14ac:dyDescent="0.3"/>
  <cols>
    <col min="2" max="2" width="12.88671875" bestFit="1" customWidth="1"/>
    <col min="10" max="10" width="10" bestFit="1" customWidth="1"/>
    <col min="14" max="14" width="10" bestFit="1" customWidth="1"/>
  </cols>
  <sheetData>
    <row r="1" spans="1:14" x14ac:dyDescent="0.3">
      <c r="A1" s="19" t="s">
        <v>60</v>
      </c>
      <c r="B1" s="19"/>
      <c r="C1" s="19"/>
      <c r="D1" s="19"/>
      <c r="E1" s="19"/>
    </row>
    <row r="2" spans="1:14" x14ac:dyDescent="0.3">
      <c r="A2" s="19" t="s">
        <v>0</v>
      </c>
      <c r="B2" s="19" t="s">
        <v>22</v>
      </c>
      <c r="C2" s="19"/>
      <c r="D2" s="19" t="s">
        <v>27</v>
      </c>
      <c r="E2" s="19"/>
    </row>
    <row r="3" spans="1:14" x14ac:dyDescent="0.3">
      <c r="A3" s="19"/>
      <c r="B3" s="1" t="s">
        <v>1</v>
      </c>
      <c r="C3" s="1" t="s">
        <v>2</v>
      </c>
      <c r="D3" s="1" t="s">
        <v>3</v>
      </c>
      <c r="E3" s="1" t="s">
        <v>4</v>
      </c>
    </row>
    <row r="4" spans="1:14" x14ac:dyDescent="0.3">
      <c r="A4" s="1" t="s">
        <v>5</v>
      </c>
      <c r="B4" s="1">
        <v>1260412</v>
      </c>
      <c r="C4" s="1">
        <v>7.71</v>
      </c>
      <c r="D4" s="1">
        <v>1107996</v>
      </c>
      <c r="E4" s="1">
        <v>7.51</v>
      </c>
    </row>
    <row r="5" spans="1:14" x14ac:dyDescent="0.3">
      <c r="A5" s="1" t="s">
        <v>6</v>
      </c>
      <c r="B5" s="1">
        <v>1374616</v>
      </c>
      <c r="C5" s="1">
        <v>8.41</v>
      </c>
      <c r="D5" s="1">
        <v>1239667</v>
      </c>
      <c r="E5" s="1">
        <v>8.4</v>
      </c>
    </row>
    <row r="6" spans="1:14" x14ac:dyDescent="0.3">
      <c r="A6" s="1" t="s">
        <v>7</v>
      </c>
      <c r="B6" s="1">
        <v>1548110</v>
      </c>
      <c r="C6" s="1">
        <v>9.52</v>
      </c>
      <c r="D6" s="1">
        <v>1169842</v>
      </c>
      <c r="E6" s="1">
        <v>7.91</v>
      </c>
    </row>
    <row r="7" spans="1:14" x14ac:dyDescent="0.3">
      <c r="A7" s="1" t="s">
        <v>8</v>
      </c>
      <c r="B7" s="1">
        <v>1528616</v>
      </c>
      <c r="C7" s="1">
        <v>9.39</v>
      </c>
      <c r="D7" s="1">
        <v>1366308</v>
      </c>
      <c r="E7" s="1">
        <v>9.23</v>
      </c>
      <c r="G7" t="s">
        <v>36</v>
      </c>
    </row>
    <row r="8" spans="1:14" x14ac:dyDescent="0.3">
      <c r="A8" s="1" t="s">
        <v>9</v>
      </c>
      <c r="B8" s="1">
        <v>1586709</v>
      </c>
      <c r="C8" s="1">
        <v>9.76</v>
      </c>
      <c r="D8" s="1">
        <v>1409547</v>
      </c>
      <c r="E8" s="1">
        <v>9.5399999999999991</v>
      </c>
    </row>
    <row r="9" spans="1:14" x14ac:dyDescent="0.3">
      <c r="A9" s="1" t="s">
        <v>10</v>
      </c>
      <c r="B9" s="1">
        <v>1345802</v>
      </c>
      <c r="C9" s="1">
        <v>8.23</v>
      </c>
      <c r="D9" s="1">
        <v>1258310</v>
      </c>
      <c r="E9" s="1">
        <v>8.51</v>
      </c>
      <c r="G9" s="1" t="s">
        <v>51</v>
      </c>
      <c r="H9" s="1" t="s">
        <v>34</v>
      </c>
      <c r="I9" s="1" t="s">
        <v>35</v>
      </c>
      <c r="J9" s="1" t="s">
        <v>46</v>
      </c>
      <c r="M9" s="6" t="s">
        <v>51</v>
      </c>
      <c r="N9" s="6" t="s">
        <v>46</v>
      </c>
    </row>
    <row r="10" spans="1:14" x14ac:dyDescent="0.3">
      <c r="A10" s="1" t="s">
        <v>11</v>
      </c>
      <c r="B10" s="1">
        <v>1218190</v>
      </c>
      <c r="C10" s="1">
        <v>7.47</v>
      </c>
      <c r="D10" s="1">
        <v>1139703</v>
      </c>
      <c r="E10" s="1">
        <v>7.72</v>
      </c>
      <c r="G10" s="1" t="str">
        <f>A1</f>
        <v>GUJARAT</v>
      </c>
      <c r="H10" s="1">
        <f>B20</f>
        <v>14782142</v>
      </c>
      <c r="I10" s="1">
        <f>D20</f>
        <v>13386520</v>
      </c>
      <c r="J10" s="1">
        <f>H10+I10</f>
        <v>28168662</v>
      </c>
      <c r="M10" s="1" t="s">
        <v>60</v>
      </c>
      <c r="N10" s="1">
        <v>28168662</v>
      </c>
    </row>
    <row r="11" spans="1:14" x14ac:dyDescent="0.3">
      <c r="A11" s="1" t="s">
        <v>12</v>
      </c>
      <c r="B11" s="1">
        <v>1072416</v>
      </c>
      <c r="C11" s="1">
        <v>6.56</v>
      </c>
      <c r="D11" s="1">
        <v>1029897</v>
      </c>
      <c r="E11" s="1">
        <v>6.98</v>
      </c>
      <c r="G11" s="1" t="str">
        <f>A23</f>
        <v>MAHARASHTRA</v>
      </c>
      <c r="H11" s="1">
        <f>B42</f>
        <v>31653901</v>
      </c>
      <c r="I11" s="1">
        <f>D42</f>
        <v>29554975</v>
      </c>
      <c r="J11" s="1">
        <f>H11+I11</f>
        <v>61208876</v>
      </c>
      <c r="M11" s="1" t="s">
        <v>61</v>
      </c>
      <c r="N11" s="1">
        <v>122417752</v>
      </c>
    </row>
    <row r="12" spans="1:14" x14ac:dyDescent="0.3">
      <c r="A12" s="1" t="s">
        <v>13</v>
      </c>
      <c r="B12" s="1">
        <v>981787</v>
      </c>
      <c r="C12" s="1">
        <v>6</v>
      </c>
      <c r="D12" s="1">
        <v>960987</v>
      </c>
      <c r="E12" s="1">
        <v>6.51</v>
      </c>
      <c r="G12" s="1" t="s">
        <v>46</v>
      </c>
      <c r="H12" s="1">
        <f>SUM(H10:H11)</f>
        <v>46436043</v>
      </c>
      <c r="I12" s="1">
        <f>SUM(I10:I11)</f>
        <v>42941495</v>
      </c>
      <c r="J12" s="1">
        <f>SUM(J10:J11)</f>
        <v>89377538</v>
      </c>
      <c r="M12" s="1" t="s">
        <v>46</v>
      </c>
      <c r="N12" s="1">
        <v>150586414</v>
      </c>
    </row>
    <row r="13" spans="1:14" x14ac:dyDescent="0.3">
      <c r="A13" s="1" t="s">
        <v>14</v>
      </c>
      <c r="B13" s="1">
        <v>860957</v>
      </c>
      <c r="C13" s="1">
        <v>5.29</v>
      </c>
      <c r="D13" s="1">
        <v>784320</v>
      </c>
      <c r="E13" s="1">
        <v>5.3</v>
      </c>
      <c r="M13" s="1"/>
      <c r="N13" s="1"/>
    </row>
    <row r="14" spans="1:14" x14ac:dyDescent="0.3">
      <c r="A14" s="1" t="s">
        <v>15</v>
      </c>
      <c r="B14" s="1">
        <v>693497</v>
      </c>
      <c r="C14" s="1">
        <v>4.24</v>
      </c>
      <c r="D14" s="1">
        <v>617430</v>
      </c>
      <c r="E14" s="1">
        <v>4.18</v>
      </c>
      <c r="M14" s="1"/>
      <c r="N14" s="1"/>
    </row>
    <row r="15" spans="1:14" x14ac:dyDescent="0.3">
      <c r="A15" s="1" t="s">
        <v>16</v>
      </c>
      <c r="B15" s="1">
        <v>514190</v>
      </c>
      <c r="C15" s="1">
        <v>3.14</v>
      </c>
      <c r="D15" s="1">
        <v>469911</v>
      </c>
      <c r="E15" s="1">
        <v>3.18</v>
      </c>
      <c r="G15" t="s">
        <v>47</v>
      </c>
      <c r="M15" s="1"/>
      <c r="N15" s="1"/>
    </row>
    <row r="16" spans="1:14" x14ac:dyDescent="0.3">
      <c r="A16" s="1" t="s">
        <v>17</v>
      </c>
      <c r="B16" s="1">
        <v>317853</v>
      </c>
      <c r="C16" s="1">
        <v>1.94</v>
      </c>
      <c r="D16" s="1">
        <v>301680</v>
      </c>
      <c r="E16" s="1">
        <v>2.04</v>
      </c>
    </row>
    <row r="17" spans="1:13" x14ac:dyDescent="0.3">
      <c r="A17" s="1" t="s">
        <v>18</v>
      </c>
      <c r="B17" s="1">
        <v>220743</v>
      </c>
      <c r="C17" s="1">
        <v>1.35</v>
      </c>
      <c r="D17" s="1">
        <v>230295</v>
      </c>
      <c r="E17" s="1">
        <v>1.56</v>
      </c>
      <c r="G17" s="1" t="s">
        <v>0</v>
      </c>
      <c r="H17" s="1" t="s">
        <v>34</v>
      </c>
      <c r="I17" s="1" t="s">
        <v>35</v>
      </c>
      <c r="J17" s="1"/>
    </row>
    <row r="18" spans="1:13" x14ac:dyDescent="0.3">
      <c r="A18" s="1" t="s">
        <v>19</v>
      </c>
      <c r="B18" s="1">
        <v>258244</v>
      </c>
      <c r="C18" s="1">
        <v>1.58</v>
      </c>
      <c r="D18" s="1">
        <v>300627</v>
      </c>
      <c r="E18" s="1">
        <v>2.04</v>
      </c>
      <c r="G18" s="1" t="s">
        <v>5</v>
      </c>
      <c r="H18" s="1">
        <f>B4+B26</f>
        <v>3687945</v>
      </c>
      <c r="I18" s="1">
        <f>D4+D26</f>
        <v>3260411</v>
      </c>
      <c r="J18" s="1">
        <f>H18+I18</f>
        <v>6948356</v>
      </c>
    </row>
    <row r="19" spans="1:13" x14ac:dyDescent="0.3">
      <c r="A19" s="1" t="s">
        <v>20</v>
      </c>
      <c r="B19" s="1">
        <v>0</v>
      </c>
      <c r="C19" s="1">
        <v>0</v>
      </c>
      <c r="D19" s="1">
        <v>0</v>
      </c>
      <c r="E19" s="1">
        <v>0</v>
      </c>
      <c r="G19" s="1" t="s">
        <v>6</v>
      </c>
      <c r="H19" s="1">
        <f t="shared" ref="H19:H34" si="0">B5+B27</f>
        <v>3872902</v>
      </c>
      <c r="I19" s="1">
        <f t="shared" ref="I19:I34" si="1">D5+D27</f>
        <v>3480809</v>
      </c>
      <c r="J19" s="1">
        <f t="shared" ref="J19:J34" si="2">H19+I19</f>
        <v>7353711</v>
      </c>
    </row>
    <row r="20" spans="1:13" x14ac:dyDescent="0.3">
      <c r="A20" s="1" t="s">
        <v>24</v>
      </c>
      <c r="B20" s="1">
        <v>14782142</v>
      </c>
      <c r="C20" s="1">
        <v>90.589999999999989</v>
      </c>
      <c r="D20" s="1">
        <v>13386520</v>
      </c>
      <c r="E20" s="1">
        <v>90.610000000000014</v>
      </c>
      <c r="G20" s="1" t="s">
        <v>7</v>
      </c>
      <c r="H20" s="1">
        <f t="shared" si="0"/>
        <v>4170524</v>
      </c>
      <c r="I20" s="1">
        <f t="shared" si="1"/>
        <v>3510144.5</v>
      </c>
      <c r="J20" s="1">
        <f t="shared" si="2"/>
        <v>7680668.5</v>
      </c>
    </row>
    <row r="21" spans="1:13" x14ac:dyDescent="0.3">
      <c r="G21" s="1" t="s">
        <v>8</v>
      </c>
      <c r="H21" s="1">
        <f t="shared" si="0"/>
        <v>4271080.5</v>
      </c>
      <c r="I21" s="1">
        <f t="shared" si="1"/>
        <v>3883339.5</v>
      </c>
      <c r="J21" s="1">
        <f t="shared" si="2"/>
        <v>8154420</v>
      </c>
    </row>
    <row r="22" spans="1:13" x14ac:dyDescent="0.3">
      <c r="G22" s="1" t="s">
        <v>9</v>
      </c>
      <c r="H22" s="1">
        <f t="shared" si="0"/>
        <v>5123992</v>
      </c>
      <c r="I22" s="1">
        <f t="shared" si="1"/>
        <v>4443172</v>
      </c>
      <c r="J22" s="1">
        <f t="shared" si="2"/>
        <v>9567164</v>
      </c>
    </row>
    <row r="23" spans="1:13" x14ac:dyDescent="0.3">
      <c r="A23" s="19" t="s">
        <v>61</v>
      </c>
      <c r="B23" s="19"/>
      <c r="C23" s="19"/>
      <c r="D23" s="19"/>
      <c r="E23" s="19"/>
      <c r="G23" s="1" t="s">
        <v>10</v>
      </c>
      <c r="H23" s="1">
        <f t="shared" si="0"/>
        <v>4399169.5</v>
      </c>
      <c r="I23" s="1">
        <f t="shared" si="1"/>
        <v>4153636</v>
      </c>
      <c r="J23" s="1">
        <f t="shared" si="2"/>
        <v>8552805.5</v>
      </c>
    </row>
    <row r="24" spans="1:13" x14ac:dyDescent="0.3">
      <c r="A24" s="19" t="s">
        <v>0</v>
      </c>
      <c r="B24" s="19" t="s">
        <v>22</v>
      </c>
      <c r="C24" s="19"/>
      <c r="D24" s="19" t="s">
        <v>27</v>
      </c>
      <c r="E24" s="19"/>
      <c r="G24" s="1" t="s">
        <v>11</v>
      </c>
      <c r="H24" s="1">
        <f t="shared" si="0"/>
        <v>3846193.5</v>
      </c>
      <c r="I24" s="1">
        <f t="shared" si="1"/>
        <v>3777274.5</v>
      </c>
      <c r="J24" s="1">
        <f t="shared" si="2"/>
        <v>7623468</v>
      </c>
    </row>
    <row r="25" spans="1:13" x14ac:dyDescent="0.3">
      <c r="A25" s="19"/>
      <c r="B25" s="1" t="s">
        <v>1</v>
      </c>
      <c r="C25" s="1" t="s">
        <v>2</v>
      </c>
      <c r="D25" s="1" t="s">
        <v>3</v>
      </c>
      <c r="E25" s="1" t="s">
        <v>4</v>
      </c>
      <c r="G25" s="1" t="s">
        <v>12</v>
      </c>
      <c r="H25" s="1">
        <f t="shared" si="0"/>
        <v>3456960</v>
      </c>
      <c r="I25" s="1">
        <f t="shared" si="1"/>
        <v>3519775</v>
      </c>
      <c r="J25" s="1">
        <f t="shared" si="2"/>
        <v>6976735</v>
      </c>
    </row>
    <row r="26" spans="1:13" x14ac:dyDescent="0.3">
      <c r="A26" s="1" t="s">
        <v>5</v>
      </c>
      <c r="B26" s="1">
        <v>2427533</v>
      </c>
      <c r="C26" s="5">
        <v>7.6689852539818082E-2</v>
      </c>
      <c r="D26" s="1">
        <v>2152415</v>
      </c>
      <c r="E26" s="5">
        <v>7.2827501968788677E-2</v>
      </c>
      <c r="G26" s="1" t="s">
        <v>13</v>
      </c>
      <c r="H26" s="1">
        <f t="shared" si="0"/>
        <v>3173189</v>
      </c>
      <c r="I26" s="1">
        <f t="shared" si="1"/>
        <v>2974667</v>
      </c>
      <c r="J26" s="1">
        <f t="shared" si="2"/>
        <v>6147856</v>
      </c>
      <c r="L26">
        <v>1213766.5</v>
      </c>
      <c r="M26">
        <v>1076207.5</v>
      </c>
    </row>
    <row r="27" spans="1:13" x14ac:dyDescent="0.3">
      <c r="A27" s="1" t="s">
        <v>6</v>
      </c>
      <c r="B27" s="1">
        <v>2498286</v>
      </c>
      <c r="C27" s="5">
        <v>7.8925058873470288E-2</v>
      </c>
      <c r="D27" s="1">
        <v>2241142</v>
      </c>
      <c r="E27" s="5">
        <v>7.5829602291999906E-2</v>
      </c>
      <c r="G27" s="1" t="s">
        <v>14</v>
      </c>
      <c r="H27" s="1">
        <f t="shared" si="0"/>
        <v>2714536</v>
      </c>
      <c r="I27" s="1">
        <f t="shared" si="1"/>
        <v>2502935.5</v>
      </c>
      <c r="J27" s="1">
        <f t="shared" si="2"/>
        <v>5217471.5</v>
      </c>
      <c r="L27">
        <v>1249143</v>
      </c>
      <c r="M27">
        <v>1120571</v>
      </c>
    </row>
    <row r="28" spans="1:13" x14ac:dyDescent="0.3">
      <c r="A28" s="1" t="s">
        <v>7</v>
      </c>
      <c r="B28" s="1">
        <v>2622414</v>
      </c>
      <c r="C28" s="5">
        <v>8.2846471276952563E-2</v>
      </c>
      <c r="D28" s="1">
        <v>2340302.5</v>
      </c>
      <c r="E28" s="5">
        <v>7.9184722707429128E-2</v>
      </c>
      <c r="G28" s="1" t="s">
        <v>15</v>
      </c>
      <c r="H28" s="1">
        <f t="shared" si="0"/>
        <v>2247127.5</v>
      </c>
      <c r="I28" s="1">
        <f t="shared" si="1"/>
        <v>1995714.5</v>
      </c>
      <c r="J28" s="1">
        <f t="shared" si="2"/>
        <v>4242842</v>
      </c>
      <c r="L28">
        <v>1311207</v>
      </c>
      <c r="M28">
        <v>1170151.25</v>
      </c>
    </row>
    <row r="29" spans="1:13" x14ac:dyDescent="0.3">
      <c r="A29" s="1" t="s">
        <v>8</v>
      </c>
      <c r="B29" s="1">
        <v>2742464.5</v>
      </c>
      <c r="C29" s="5">
        <v>8.6639068593788809E-2</v>
      </c>
      <c r="D29" s="1">
        <v>2517031.5</v>
      </c>
      <c r="E29" s="5">
        <v>8.5164392796813398E-2</v>
      </c>
      <c r="G29" s="1" t="s">
        <v>16</v>
      </c>
      <c r="H29" s="1">
        <f t="shared" si="0"/>
        <v>1736518</v>
      </c>
      <c r="I29" s="1">
        <f t="shared" si="1"/>
        <v>1605927.5</v>
      </c>
      <c r="J29" s="1">
        <f t="shared" si="2"/>
        <v>3342445.5</v>
      </c>
      <c r="L29">
        <v>1371232.25</v>
      </c>
      <c r="M29">
        <v>1258515.75</v>
      </c>
    </row>
    <row r="30" spans="1:13" x14ac:dyDescent="0.3">
      <c r="A30" s="1" t="s">
        <v>9</v>
      </c>
      <c r="B30" s="1">
        <v>3537283</v>
      </c>
      <c r="C30" s="5">
        <v>0.11174872253502025</v>
      </c>
      <c r="D30" s="1">
        <v>3033625</v>
      </c>
      <c r="E30" s="5">
        <v>0.10264346357931278</v>
      </c>
      <c r="G30" s="1" t="s">
        <v>17</v>
      </c>
      <c r="H30" s="1">
        <f t="shared" si="0"/>
        <v>1342109</v>
      </c>
      <c r="I30" s="1">
        <f t="shared" si="1"/>
        <v>1301465</v>
      </c>
      <c r="J30" s="1">
        <f t="shared" si="2"/>
        <v>2643574</v>
      </c>
      <c r="L30">
        <v>1768641.5</v>
      </c>
      <c r="M30">
        <v>1516812.5</v>
      </c>
    </row>
    <row r="31" spans="1:13" x14ac:dyDescent="0.3">
      <c r="A31" s="1" t="s">
        <v>10</v>
      </c>
      <c r="B31" s="1">
        <v>3053367.5</v>
      </c>
      <c r="C31" s="5">
        <v>9.6461017553571046E-2</v>
      </c>
      <c r="D31" s="1">
        <v>2895326</v>
      </c>
      <c r="E31" s="5">
        <v>9.7964082189208421E-2</v>
      </c>
      <c r="G31" s="1" t="s">
        <v>18</v>
      </c>
      <c r="H31" s="1">
        <f t="shared" si="0"/>
        <v>981787.5</v>
      </c>
      <c r="I31" s="1">
        <f t="shared" si="1"/>
        <v>1006726.5</v>
      </c>
      <c r="J31" s="1">
        <f t="shared" si="2"/>
        <v>1988514</v>
      </c>
      <c r="L31">
        <v>1526683.75</v>
      </c>
      <c r="M31">
        <v>1447663</v>
      </c>
    </row>
    <row r="32" spans="1:13" x14ac:dyDescent="0.3">
      <c r="A32" s="1" t="s">
        <v>11</v>
      </c>
      <c r="B32" s="1">
        <v>2628003.5</v>
      </c>
      <c r="C32" s="5">
        <v>8.3023052988002957E-2</v>
      </c>
      <c r="D32" s="1">
        <v>2637571.5</v>
      </c>
      <c r="E32" s="5">
        <v>8.9242893962860739E-2</v>
      </c>
      <c r="G32" s="1" t="s">
        <v>19</v>
      </c>
      <c r="H32" s="1">
        <f t="shared" si="0"/>
        <v>812421.5</v>
      </c>
      <c r="I32" s="1">
        <f t="shared" si="1"/>
        <v>861910</v>
      </c>
      <c r="J32" s="1">
        <f t="shared" si="2"/>
        <v>1674331.5</v>
      </c>
      <c r="L32">
        <v>1314001.75</v>
      </c>
      <c r="M32">
        <v>1318785.75</v>
      </c>
    </row>
    <row r="33" spans="1:13" x14ac:dyDescent="0.3">
      <c r="A33" s="1" t="s">
        <v>12</v>
      </c>
      <c r="B33" s="1">
        <v>2384544</v>
      </c>
      <c r="C33" s="5">
        <v>7.5331757687622763E-2</v>
      </c>
      <c r="D33" s="1">
        <v>2489878</v>
      </c>
      <c r="E33" s="5">
        <v>8.4245647306417953E-2</v>
      </c>
      <c r="G33" s="1" t="s">
        <v>20</v>
      </c>
      <c r="H33" s="1">
        <f t="shared" si="0"/>
        <v>599588</v>
      </c>
      <c r="I33" s="1">
        <f t="shared" si="1"/>
        <v>663587.5</v>
      </c>
      <c r="J33" s="1">
        <f t="shared" si="2"/>
        <v>1263175.5</v>
      </c>
      <c r="L33">
        <v>1192272</v>
      </c>
      <c r="M33">
        <v>1244939</v>
      </c>
    </row>
    <row r="34" spans="1:13" x14ac:dyDescent="0.3">
      <c r="A34" s="1" t="s">
        <v>13</v>
      </c>
      <c r="B34" s="1">
        <v>2191402</v>
      </c>
      <c r="C34" s="5">
        <v>6.9230076886889869E-2</v>
      </c>
      <c r="D34" s="1">
        <v>2013680</v>
      </c>
      <c r="E34" s="5">
        <v>6.813336840921029E-2</v>
      </c>
      <c r="G34" s="1" t="s">
        <v>24</v>
      </c>
      <c r="H34" s="1">
        <f t="shared" si="0"/>
        <v>46436043</v>
      </c>
      <c r="I34" s="1">
        <f t="shared" si="1"/>
        <v>42941495</v>
      </c>
      <c r="J34" s="1">
        <f t="shared" si="2"/>
        <v>89377538</v>
      </c>
      <c r="L34">
        <v>1095701</v>
      </c>
      <c r="M34">
        <v>1006840</v>
      </c>
    </row>
    <row r="35" spans="1:13" x14ac:dyDescent="0.3">
      <c r="A35" s="1" t="s">
        <v>14</v>
      </c>
      <c r="B35" s="1">
        <v>1853579</v>
      </c>
      <c r="C35" s="5">
        <v>5.8557679825939936E-2</v>
      </c>
      <c r="D35" s="1">
        <v>1718615.5</v>
      </c>
      <c r="E35" s="5">
        <v>5.8149786964800346E-2</v>
      </c>
      <c r="L35">
        <v>926789.5</v>
      </c>
      <c r="M35">
        <v>859307.75</v>
      </c>
    </row>
    <row r="36" spans="1:13" x14ac:dyDescent="0.3">
      <c r="A36" s="1" t="s">
        <v>15</v>
      </c>
      <c r="B36" s="1">
        <v>1553630.5</v>
      </c>
      <c r="C36" s="5">
        <v>4.9081801955468303E-2</v>
      </c>
      <c r="D36" s="1">
        <v>1378284.5</v>
      </c>
      <c r="E36" s="5">
        <v>4.663460212705306E-2</v>
      </c>
      <c r="L36">
        <v>776815.25</v>
      </c>
      <c r="M36">
        <v>689142.25</v>
      </c>
    </row>
    <row r="37" spans="1:13" x14ac:dyDescent="0.3">
      <c r="A37" s="1" t="s">
        <v>16</v>
      </c>
      <c r="B37" s="1">
        <v>1222328</v>
      </c>
      <c r="C37" s="5">
        <v>3.8615398462262203E-2</v>
      </c>
      <c r="D37" s="1">
        <v>1136016.5</v>
      </c>
      <c r="E37" s="5">
        <v>3.8437403516666822E-2</v>
      </c>
      <c r="L37">
        <v>611164</v>
      </c>
      <c r="M37">
        <v>568008.25</v>
      </c>
    </row>
    <row r="38" spans="1:13" x14ac:dyDescent="0.3">
      <c r="A38" s="1" t="s">
        <v>17</v>
      </c>
      <c r="B38" s="1">
        <v>1024256</v>
      </c>
      <c r="C38" s="5">
        <v>3.2357970665290198E-2</v>
      </c>
      <c r="D38" s="1">
        <v>999785</v>
      </c>
      <c r="E38" s="5">
        <v>3.382797650818517E-2</v>
      </c>
      <c r="L38">
        <v>512128</v>
      </c>
      <c r="M38">
        <v>499892.5</v>
      </c>
    </row>
    <row r="39" spans="1:13" x14ac:dyDescent="0.3">
      <c r="A39" s="1" t="s">
        <v>18</v>
      </c>
      <c r="B39" s="1">
        <v>761044.5</v>
      </c>
      <c r="C39" s="5">
        <v>2.4042676446103754E-2</v>
      </c>
      <c r="D39" s="1">
        <v>776431.5</v>
      </c>
      <c r="E39" s="5">
        <v>2.6270754754487188E-2</v>
      </c>
      <c r="L39">
        <v>380522.25</v>
      </c>
      <c r="M39">
        <v>388215.75</v>
      </c>
    </row>
    <row r="40" spans="1:13" x14ac:dyDescent="0.3">
      <c r="A40" s="1" t="s">
        <v>19</v>
      </c>
      <c r="B40" s="1">
        <v>554177.5</v>
      </c>
      <c r="C40" s="5">
        <v>1.750739979884312E-2</v>
      </c>
      <c r="D40" s="1">
        <v>561283</v>
      </c>
      <c r="E40" s="5">
        <v>1.8991151235959427E-2</v>
      </c>
      <c r="L40">
        <v>277088.75</v>
      </c>
      <c r="M40">
        <v>280641.5</v>
      </c>
    </row>
    <row r="41" spans="1:13" x14ac:dyDescent="0.3">
      <c r="A41" s="1" t="s">
        <v>20</v>
      </c>
      <c r="B41" s="1">
        <v>599588</v>
      </c>
      <c r="C41" s="5">
        <v>1.8941993910955874E-2</v>
      </c>
      <c r="D41" s="1">
        <v>663587.5</v>
      </c>
      <c r="E41" s="5">
        <v>2.2452649680806701E-2</v>
      </c>
      <c r="L41">
        <v>299794</v>
      </c>
      <c r="M41">
        <v>331793.75</v>
      </c>
    </row>
    <row r="42" spans="1:13" x14ac:dyDescent="0.3">
      <c r="A42" s="1" t="s">
        <v>24</v>
      </c>
      <c r="B42">
        <f>SUM(B26:B41)</f>
        <v>31653901</v>
      </c>
      <c r="C42" s="7">
        <v>1.0000000000000002</v>
      </c>
      <c r="D42">
        <f>SUM(D26:D41)</f>
        <v>29554975</v>
      </c>
      <c r="E42" s="7">
        <v>0.99999999999999989</v>
      </c>
    </row>
    <row r="43" spans="1:13" x14ac:dyDescent="0.3">
      <c r="B43">
        <f>SUM(B26:B41)</f>
        <v>31653901</v>
      </c>
      <c r="D43">
        <f>SUM(D26:D41)</f>
        <v>29554975</v>
      </c>
    </row>
  </sheetData>
  <mergeCells count="8">
    <mergeCell ref="A24:A25"/>
    <mergeCell ref="B24:C24"/>
    <mergeCell ref="D24:E24"/>
    <mergeCell ref="A1:E1"/>
    <mergeCell ref="A2:A3"/>
    <mergeCell ref="B2:C2"/>
    <mergeCell ref="D2:E2"/>
    <mergeCell ref="A23:E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3F61-ADAC-43B4-BA43-F9A7B1DA7A24}">
  <dimension ref="B2:O33"/>
  <sheetViews>
    <sheetView topLeftCell="A2" workbookViewId="0">
      <selection activeCell="N9" sqref="N9:O10"/>
    </sheetView>
  </sheetViews>
  <sheetFormatPr defaultRowHeight="14.4" x14ac:dyDescent="0.3"/>
  <cols>
    <col min="14" max="14" width="16.44140625" bestFit="1" customWidth="1"/>
  </cols>
  <sheetData>
    <row r="2" spans="2:15" x14ac:dyDescent="0.3">
      <c r="B2" s="19" t="s">
        <v>59</v>
      </c>
      <c r="C2" s="19"/>
      <c r="D2" s="19"/>
      <c r="E2" s="19"/>
      <c r="F2" s="19"/>
    </row>
    <row r="3" spans="2:15" x14ac:dyDescent="0.3">
      <c r="B3" s="19" t="s">
        <v>0</v>
      </c>
      <c r="C3" s="19" t="s">
        <v>22</v>
      </c>
      <c r="D3" s="19"/>
      <c r="E3" s="19" t="s">
        <v>23</v>
      </c>
      <c r="F3" s="19"/>
    </row>
    <row r="4" spans="2:15" x14ac:dyDescent="0.3">
      <c r="B4" s="19"/>
      <c r="C4" s="1" t="s">
        <v>1</v>
      </c>
      <c r="D4" s="1" t="s">
        <v>2</v>
      </c>
      <c r="E4" s="1" t="s">
        <v>3</v>
      </c>
      <c r="F4" s="1" t="s">
        <v>4</v>
      </c>
    </row>
    <row r="5" spans="2:15" x14ac:dyDescent="0.3">
      <c r="B5" s="1" t="s">
        <v>5</v>
      </c>
      <c r="C5" s="2">
        <v>346072</v>
      </c>
      <c r="D5" s="2">
        <v>8.08</v>
      </c>
      <c r="E5" s="2">
        <v>319330</v>
      </c>
      <c r="F5" s="2">
        <v>8.0399999999999991</v>
      </c>
    </row>
    <row r="6" spans="2:15" x14ac:dyDescent="0.3">
      <c r="B6" s="1" t="s">
        <v>6</v>
      </c>
      <c r="C6" s="2">
        <v>364355</v>
      </c>
      <c r="D6" s="2">
        <v>8.51</v>
      </c>
      <c r="E6" s="2">
        <v>334710</v>
      </c>
      <c r="F6" s="2">
        <v>8.43</v>
      </c>
    </row>
    <row r="7" spans="2:15" x14ac:dyDescent="0.3">
      <c r="B7" s="1" t="s">
        <v>7</v>
      </c>
      <c r="C7" s="2">
        <v>402970</v>
      </c>
      <c r="D7" s="2">
        <v>9.41</v>
      </c>
      <c r="E7" s="2">
        <v>365560</v>
      </c>
      <c r="F7" s="2">
        <v>9.2100000000000009</v>
      </c>
      <c r="I7" t="s">
        <v>63</v>
      </c>
    </row>
    <row r="8" spans="2:15" x14ac:dyDescent="0.3">
      <c r="B8" s="1" t="s">
        <v>8</v>
      </c>
      <c r="C8" s="2">
        <v>453953</v>
      </c>
      <c r="D8" s="2">
        <v>10.6</v>
      </c>
      <c r="E8" s="2">
        <v>400965</v>
      </c>
      <c r="F8" s="2">
        <v>10.1</v>
      </c>
    </row>
    <row r="9" spans="2:15" x14ac:dyDescent="0.3">
      <c r="B9" s="1" t="s">
        <v>9</v>
      </c>
      <c r="C9" s="2">
        <v>468728</v>
      </c>
      <c r="D9" s="2">
        <v>10.95</v>
      </c>
      <c r="E9" s="2">
        <v>433072</v>
      </c>
      <c r="F9" s="2">
        <v>10.91</v>
      </c>
      <c r="I9" s="1" t="s">
        <v>51</v>
      </c>
      <c r="J9" s="1" t="s">
        <v>34</v>
      </c>
      <c r="K9" s="1" t="s">
        <v>35</v>
      </c>
      <c r="L9" s="1" t="s">
        <v>46</v>
      </c>
      <c r="N9" s="6" t="s">
        <v>51</v>
      </c>
      <c r="O9" s="6" t="s">
        <v>46</v>
      </c>
    </row>
    <row r="10" spans="2:15" x14ac:dyDescent="0.3">
      <c r="B10" s="1" t="s">
        <v>10</v>
      </c>
      <c r="C10" s="2">
        <v>412297</v>
      </c>
      <c r="D10" s="2">
        <v>9.6300000000000008</v>
      </c>
      <c r="E10" s="2">
        <v>405088</v>
      </c>
      <c r="F10" s="2">
        <v>10.199999999999999</v>
      </c>
      <c r="I10" s="1" t="str">
        <f>B2</f>
        <v>MADHYA PRADESH</v>
      </c>
      <c r="J10" s="1">
        <f>C21</f>
        <v>4280917</v>
      </c>
      <c r="K10" s="1">
        <f>E21</f>
        <v>3969935</v>
      </c>
      <c r="L10" s="1">
        <f>J10+K10</f>
        <v>8250852</v>
      </c>
      <c r="N10" s="1" t="s">
        <v>59</v>
      </c>
      <c r="O10" s="1">
        <v>8250852</v>
      </c>
    </row>
    <row r="11" spans="2:15" x14ac:dyDescent="0.3">
      <c r="B11" s="1" t="s">
        <v>11</v>
      </c>
      <c r="C11" s="2">
        <v>346808</v>
      </c>
      <c r="D11" s="2">
        <v>8.1</v>
      </c>
      <c r="E11" s="2">
        <v>332122</v>
      </c>
      <c r="F11" s="2">
        <v>8.3699999999999992</v>
      </c>
      <c r="I11" s="1" t="s">
        <v>46</v>
      </c>
      <c r="J11" s="1">
        <f>SUM(J10:J10)</f>
        <v>4280917</v>
      </c>
      <c r="K11" s="1">
        <f>SUM(K10:K10)</f>
        <v>3969935</v>
      </c>
      <c r="L11" s="1">
        <f>SUM(L10:L10)</f>
        <v>8250852</v>
      </c>
      <c r="N11" s="1"/>
      <c r="O11" s="1"/>
    </row>
    <row r="12" spans="2:15" x14ac:dyDescent="0.3">
      <c r="B12" s="1" t="s">
        <v>12</v>
      </c>
      <c r="C12" s="2">
        <v>315234</v>
      </c>
      <c r="D12" s="2">
        <v>7.36</v>
      </c>
      <c r="E12" s="2">
        <v>304689</v>
      </c>
      <c r="F12" s="2">
        <v>7.67</v>
      </c>
      <c r="N12" s="1"/>
      <c r="O12" s="1"/>
    </row>
    <row r="13" spans="2:15" x14ac:dyDescent="0.3">
      <c r="B13" s="1" t="s">
        <v>13</v>
      </c>
      <c r="C13" s="2">
        <v>284759</v>
      </c>
      <c r="D13" s="2">
        <v>6.65</v>
      </c>
      <c r="E13" s="2">
        <v>261360</v>
      </c>
      <c r="F13" s="2">
        <v>6.58</v>
      </c>
      <c r="N13" s="1"/>
      <c r="O13" s="1"/>
    </row>
    <row r="14" spans="2:15" x14ac:dyDescent="0.3">
      <c r="B14" s="1" t="s">
        <v>14</v>
      </c>
      <c r="C14" s="2">
        <v>247626</v>
      </c>
      <c r="D14" s="2">
        <v>5.78</v>
      </c>
      <c r="E14" s="2">
        <v>217076</v>
      </c>
      <c r="F14" s="2">
        <v>5.47</v>
      </c>
      <c r="I14" t="s">
        <v>47</v>
      </c>
      <c r="N14" s="1"/>
      <c r="O14" s="1"/>
    </row>
    <row r="15" spans="2:15" x14ac:dyDescent="0.3">
      <c r="B15" s="1" t="s">
        <v>15</v>
      </c>
      <c r="C15" s="2">
        <v>183031</v>
      </c>
      <c r="D15" s="2">
        <v>4.28</v>
      </c>
      <c r="E15" s="2">
        <v>157479</v>
      </c>
      <c r="F15" s="2">
        <v>3.97</v>
      </c>
      <c r="N15" s="1"/>
      <c r="O15" s="1"/>
    </row>
    <row r="16" spans="2:15" x14ac:dyDescent="0.3">
      <c r="B16" s="1" t="s">
        <v>16</v>
      </c>
      <c r="C16" s="2">
        <v>130482</v>
      </c>
      <c r="D16" s="2">
        <v>3.05</v>
      </c>
      <c r="E16" s="2">
        <v>118215</v>
      </c>
      <c r="F16" s="2">
        <v>2.98</v>
      </c>
      <c r="I16" s="1" t="s">
        <v>0</v>
      </c>
      <c r="J16" s="1" t="s">
        <v>34</v>
      </c>
      <c r="K16" s="1" t="s">
        <v>35</v>
      </c>
      <c r="L16" s="1"/>
    </row>
    <row r="17" spans="2:12" x14ac:dyDescent="0.3">
      <c r="B17" s="1" t="s">
        <v>17</v>
      </c>
      <c r="C17" s="2">
        <v>117306</v>
      </c>
      <c r="D17" s="2">
        <v>2.74</v>
      </c>
      <c r="E17" s="2">
        <v>115902</v>
      </c>
      <c r="F17" s="2">
        <v>2.92</v>
      </c>
      <c r="I17" s="1" t="s">
        <v>5</v>
      </c>
      <c r="J17" s="1">
        <f>C5</f>
        <v>346072</v>
      </c>
      <c r="K17" s="1">
        <f>E5</f>
        <v>319330</v>
      </c>
      <c r="L17" s="1">
        <f>SUM(J17:K17)</f>
        <v>665402</v>
      </c>
    </row>
    <row r="18" spans="2:12" x14ac:dyDescent="0.3">
      <c r="B18" s="1" t="s">
        <v>18</v>
      </c>
      <c r="C18" s="2">
        <v>78868</v>
      </c>
      <c r="D18" s="2">
        <v>1.84</v>
      </c>
      <c r="E18" s="2">
        <v>77898</v>
      </c>
      <c r="F18" s="2">
        <v>1.96</v>
      </c>
      <c r="I18" s="1" t="s">
        <v>6</v>
      </c>
      <c r="J18" s="1">
        <f t="shared" ref="J18:J32" si="0">C6</f>
        <v>364355</v>
      </c>
      <c r="K18" s="1">
        <f t="shared" ref="K18:K32" si="1">E6</f>
        <v>334710</v>
      </c>
      <c r="L18" s="1">
        <f t="shared" ref="L18:L33" si="2">SUM(J18:K18)</f>
        <v>699065</v>
      </c>
    </row>
    <row r="19" spans="2:12" x14ac:dyDescent="0.3">
      <c r="B19" s="1" t="s">
        <v>19</v>
      </c>
      <c r="C19" s="2">
        <v>61387</v>
      </c>
      <c r="D19" s="2">
        <v>1.43</v>
      </c>
      <c r="E19" s="2">
        <v>56167</v>
      </c>
      <c r="F19" s="2">
        <v>1.41</v>
      </c>
      <c r="I19" s="1" t="s">
        <v>7</v>
      </c>
      <c r="J19" s="1">
        <f t="shared" si="0"/>
        <v>402970</v>
      </c>
      <c r="K19" s="1">
        <f t="shared" si="1"/>
        <v>365560</v>
      </c>
      <c r="L19" s="1">
        <f t="shared" si="2"/>
        <v>768530</v>
      </c>
    </row>
    <row r="20" spans="2:12" x14ac:dyDescent="0.3">
      <c r="B20" s="1" t="s">
        <v>20</v>
      </c>
      <c r="C20" s="2">
        <v>67041</v>
      </c>
      <c r="D20" s="2">
        <v>1.57</v>
      </c>
      <c r="E20" s="2">
        <v>70302</v>
      </c>
      <c r="F20" s="2">
        <v>1.77</v>
      </c>
      <c r="I20" s="1" t="s">
        <v>8</v>
      </c>
      <c r="J20" s="1">
        <f t="shared" si="0"/>
        <v>453953</v>
      </c>
      <c r="K20" s="1">
        <f t="shared" si="1"/>
        <v>400965</v>
      </c>
      <c r="L20" s="1">
        <f t="shared" si="2"/>
        <v>854918</v>
      </c>
    </row>
    <row r="21" spans="2:12" x14ac:dyDescent="0.3">
      <c r="B21" s="1" t="s">
        <v>24</v>
      </c>
      <c r="C21" s="3">
        <v>4280917</v>
      </c>
      <c r="D21" s="3">
        <v>100</v>
      </c>
      <c r="E21" s="3">
        <v>3969935</v>
      </c>
      <c r="F21" s="3">
        <v>100</v>
      </c>
      <c r="I21" s="1" t="s">
        <v>9</v>
      </c>
      <c r="J21" s="1">
        <f t="shared" si="0"/>
        <v>468728</v>
      </c>
      <c r="K21" s="1">
        <f t="shared" si="1"/>
        <v>433072</v>
      </c>
      <c r="L21" s="1">
        <f t="shared" si="2"/>
        <v>901800</v>
      </c>
    </row>
    <row r="22" spans="2:12" x14ac:dyDescent="0.3">
      <c r="I22" s="1" t="s">
        <v>10</v>
      </c>
      <c r="J22" s="1">
        <f t="shared" si="0"/>
        <v>412297</v>
      </c>
      <c r="K22" s="1">
        <f t="shared" si="1"/>
        <v>405088</v>
      </c>
      <c r="L22" s="1">
        <f t="shared" si="2"/>
        <v>817385</v>
      </c>
    </row>
    <row r="23" spans="2:12" x14ac:dyDescent="0.3">
      <c r="I23" s="1" t="s">
        <v>11</v>
      </c>
      <c r="J23" s="1">
        <f t="shared" si="0"/>
        <v>346808</v>
      </c>
      <c r="K23" s="1">
        <f t="shared" si="1"/>
        <v>332122</v>
      </c>
      <c r="L23" s="1">
        <f t="shared" si="2"/>
        <v>678930</v>
      </c>
    </row>
    <row r="24" spans="2:12" x14ac:dyDescent="0.3">
      <c r="I24" s="1" t="s">
        <v>12</v>
      </c>
      <c r="J24" s="1">
        <f t="shared" si="0"/>
        <v>315234</v>
      </c>
      <c r="K24" s="1">
        <f t="shared" si="1"/>
        <v>304689</v>
      </c>
      <c r="L24" s="1">
        <f t="shared" si="2"/>
        <v>619923</v>
      </c>
    </row>
    <row r="25" spans="2:12" x14ac:dyDescent="0.3">
      <c r="I25" s="1" t="s">
        <v>13</v>
      </c>
      <c r="J25" s="1">
        <f t="shared" si="0"/>
        <v>284759</v>
      </c>
      <c r="K25" s="1">
        <f t="shared" si="1"/>
        <v>261360</v>
      </c>
      <c r="L25" s="1">
        <f t="shared" si="2"/>
        <v>546119</v>
      </c>
    </row>
    <row r="26" spans="2:12" x14ac:dyDescent="0.3">
      <c r="I26" s="1" t="s">
        <v>14</v>
      </c>
      <c r="J26" s="1">
        <f t="shared" si="0"/>
        <v>247626</v>
      </c>
      <c r="K26" s="1">
        <f t="shared" si="1"/>
        <v>217076</v>
      </c>
      <c r="L26" s="1">
        <f t="shared" si="2"/>
        <v>464702</v>
      </c>
    </row>
    <row r="27" spans="2:12" x14ac:dyDescent="0.3">
      <c r="I27" s="1" t="s">
        <v>15</v>
      </c>
      <c r="J27" s="1">
        <f t="shared" si="0"/>
        <v>183031</v>
      </c>
      <c r="K27" s="1">
        <f t="shared" si="1"/>
        <v>157479</v>
      </c>
      <c r="L27" s="1">
        <f t="shared" si="2"/>
        <v>340510</v>
      </c>
    </row>
    <row r="28" spans="2:12" x14ac:dyDescent="0.3">
      <c r="I28" s="1" t="s">
        <v>16</v>
      </c>
      <c r="J28" s="1">
        <f t="shared" si="0"/>
        <v>130482</v>
      </c>
      <c r="K28" s="1">
        <f t="shared" si="1"/>
        <v>118215</v>
      </c>
      <c r="L28" s="1">
        <f t="shared" si="2"/>
        <v>248697</v>
      </c>
    </row>
    <row r="29" spans="2:12" x14ac:dyDescent="0.3">
      <c r="I29" s="1" t="s">
        <v>17</v>
      </c>
      <c r="J29" s="1">
        <f t="shared" si="0"/>
        <v>117306</v>
      </c>
      <c r="K29" s="1">
        <f t="shared" si="1"/>
        <v>115902</v>
      </c>
      <c r="L29" s="1">
        <f t="shared" si="2"/>
        <v>233208</v>
      </c>
    </row>
    <row r="30" spans="2:12" x14ac:dyDescent="0.3">
      <c r="I30" s="1" t="s">
        <v>18</v>
      </c>
      <c r="J30" s="1">
        <f t="shared" si="0"/>
        <v>78868</v>
      </c>
      <c r="K30" s="1">
        <f t="shared" si="1"/>
        <v>77898</v>
      </c>
      <c r="L30" s="1">
        <f t="shared" si="2"/>
        <v>156766</v>
      </c>
    </row>
    <row r="31" spans="2:12" x14ac:dyDescent="0.3">
      <c r="I31" s="1" t="s">
        <v>19</v>
      </c>
      <c r="J31" s="1">
        <f t="shared" si="0"/>
        <v>61387</v>
      </c>
      <c r="K31" s="1">
        <f t="shared" si="1"/>
        <v>56167</v>
      </c>
      <c r="L31" s="1">
        <f t="shared" si="2"/>
        <v>117554</v>
      </c>
    </row>
    <row r="32" spans="2:12" x14ac:dyDescent="0.3">
      <c r="I32" s="1" t="s">
        <v>20</v>
      </c>
      <c r="J32" s="1">
        <f t="shared" si="0"/>
        <v>67041</v>
      </c>
      <c r="K32" s="1">
        <f t="shared" si="1"/>
        <v>70302</v>
      </c>
      <c r="L32" s="1">
        <f t="shared" si="2"/>
        <v>137343</v>
      </c>
    </row>
    <row r="33" spans="9:12" x14ac:dyDescent="0.3">
      <c r="I33" s="1" t="s">
        <v>24</v>
      </c>
      <c r="J33" s="1">
        <f>SUM(J17:J32)</f>
        <v>4280917</v>
      </c>
      <c r="K33" s="1">
        <f>SUM(K17:K32)</f>
        <v>3969935</v>
      </c>
      <c r="L33" s="1">
        <f t="shared" si="2"/>
        <v>8250852</v>
      </c>
    </row>
  </sheetData>
  <mergeCells count="4">
    <mergeCell ref="B2:F2"/>
    <mergeCell ref="B3:B4"/>
    <mergeCell ref="C3:D3"/>
    <mergeCell ref="E3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"/>
  <sheetViews>
    <sheetView topLeftCell="E1" zoomScale="98" workbookViewId="0">
      <selection activeCell="M23" sqref="M23"/>
    </sheetView>
  </sheetViews>
  <sheetFormatPr defaultRowHeight="14.4" x14ac:dyDescent="0.3"/>
  <cols>
    <col min="1" max="1" width="14.44140625" customWidth="1"/>
    <col min="2" max="2" width="17.5546875" customWidth="1"/>
    <col min="3" max="3" width="18.5546875" customWidth="1"/>
    <col min="4" max="4" width="18" customWidth="1"/>
    <col min="5" max="5" width="17.88671875" customWidth="1"/>
    <col min="8" max="8" width="7.109375" bestFit="1" customWidth="1"/>
    <col min="9" max="10" width="8" bestFit="1" customWidth="1"/>
    <col min="11" max="11" width="9" bestFit="1" customWidth="1"/>
    <col min="14" max="14" width="11.33203125" bestFit="1" customWidth="1"/>
    <col min="15" max="15" width="9.21875" bestFit="1" customWidth="1"/>
  </cols>
  <sheetData>
    <row r="1" spans="1:11" x14ac:dyDescent="0.3">
      <c r="A1" s="19" t="s">
        <v>62</v>
      </c>
      <c r="B1" s="19"/>
      <c r="C1" s="19"/>
      <c r="D1" s="19"/>
      <c r="E1" s="19"/>
    </row>
    <row r="2" spans="1:11" x14ac:dyDescent="0.3">
      <c r="A2" s="19" t="s">
        <v>26</v>
      </c>
      <c r="B2" s="19" t="s">
        <v>22</v>
      </c>
      <c r="C2" s="19"/>
      <c r="D2" s="19" t="s">
        <v>27</v>
      </c>
      <c r="E2" s="19"/>
    </row>
    <row r="3" spans="1:11" x14ac:dyDescent="0.3">
      <c r="A3" s="19"/>
      <c r="B3" s="1" t="s">
        <v>1</v>
      </c>
      <c r="C3" s="1" t="s">
        <v>2</v>
      </c>
      <c r="D3" s="1" t="s">
        <v>3</v>
      </c>
      <c r="E3" s="1" t="s">
        <v>4</v>
      </c>
      <c r="H3" t="s">
        <v>37</v>
      </c>
    </row>
    <row r="4" spans="1:11" x14ac:dyDescent="0.3">
      <c r="A4" s="1" t="s">
        <v>5</v>
      </c>
      <c r="B4" s="1">
        <v>467924</v>
      </c>
      <c r="C4" s="1">
        <v>5.05</v>
      </c>
      <c r="D4" s="1">
        <v>435180</v>
      </c>
      <c r="E4" s="1">
        <v>5.04</v>
      </c>
    </row>
    <row r="5" spans="1:11" x14ac:dyDescent="0.3">
      <c r="A5" s="1" t="s">
        <v>6</v>
      </c>
      <c r="B5" s="1">
        <v>549055</v>
      </c>
      <c r="C5" s="1">
        <v>5.92</v>
      </c>
      <c r="D5" s="1">
        <v>512886</v>
      </c>
      <c r="E5" s="1">
        <v>5.94</v>
      </c>
      <c r="H5" s="1" t="s">
        <v>51</v>
      </c>
      <c r="I5" s="1" t="s">
        <v>34</v>
      </c>
      <c r="J5" s="1" t="s">
        <v>35</v>
      </c>
      <c r="K5" s="1" t="s">
        <v>46</v>
      </c>
    </row>
    <row r="6" spans="1:11" x14ac:dyDescent="0.3">
      <c r="A6" s="1" t="s">
        <v>7</v>
      </c>
      <c r="B6" s="1">
        <v>668432</v>
      </c>
      <c r="C6" s="1">
        <v>7.21</v>
      </c>
      <c r="D6" s="1">
        <v>608635</v>
      </c>
      <c r="E6" s="1">
        <v>7.05</v>
      </c>
      <c r="H6" s="1" t="str">
        <f>A1</f>
        <v>West Bengal</v>
      </c>
      <c r="I6" s="1">
        <f>B20</f>
        <v>9270946</v>
      </c>
      <c r="J6" s="1">
        <f>D20</f>
        <v>8637373</v>
      </c>
      <c r="K6" s="1">
        <f>SUM(I6:J6)</f>
        <v>17908319</v>
      </c>
    </row>
    <row r="7" spans="1:11" x14ac:dyDescent="0.3">
      <c r="A7" s="1" t="s">
        <v>8</v>
      </c>
      <c r="B7" s="1">
        <v>741228</v>
      </c>
      <c r="C7" s="1">
        <v>8</v>
      </c>
      <c r="D7" s="1">
        <v>687300</v>
      </c>
      <c r="E7" s="1">
        <v>7.96</v>
      </c>
      <c r="H7" s="1"/>
      <c r="I7" s="1">
        <f>SUM(I6)</f>
        <v>9270946</v>
      </c>
      <c r="J7" s="1">
        <f>SUM(J6)</f>
        <v>8637373</v>
      </c>
      <c r="K7" s="1"/>
    </row>
    <row r="8" spans="1:11" x14ac:dyDescent="0.3">
      <c r="A8" s="1" t="s">
        <v>9</v>
      </c>
      <c r="B8" s="1">
        <v>790540</v>
      </c>
      <c r="C8" s="1">
        <v>8.5299999999999994</v>
      </c>
      <c r="D8" s="1">
        <v>774825</v>
      </c>
      <c r="E8" s="1">
        <v>8.9700000000000006</v>
      </c>
    </row>
    <row r="9" spans="1:11" x14ac:dyDescent="0.3">
      <c r="A9" s="1" t="s">
        <v>10</v>
      </c>
      <c r="B9" s="1">
        <v>801517</v>
      </c>
      <c r="C9" s="1">
        <v>8.65</v>
      </c>
      <c r="D9" s="1">
        <v>798539</v>
      </c>
      <c r="E9" s="1">
        <v>9.25</v>
      </c>
      <c r="H9" s="4" t="s">
        <v>48</v>
      </c>
    </row>
    <row r="10" spans="1:11" x14ac:dyDescent="0.3">
      <c r="A10" s="1" t="s">
        <v>11</v>
      </c>
      <c r="B10" s="1">
        <v>767757</v>
      </c>
      <c r="C10" s="1">
        <v>8.2799999999999994</v>
      </c>
      <c r="D10" s="1">
        <v>745459</v>
      </c>
      <c r="E10" s="1">
        <v>8.6300000000000008</v>
      </c>
    </row>
    <row r="11" spans="1:11" x14ac:dyDescent="0.3">
      <c r="A11" s="1" t="s">
        <v>12</v>
      </c>
      <c r="B11" s="1">
        <v>775804</v>
      </c>
      <c r="C11" s="1">
        <v>8.3699999999999992</v>
      </c>
      <c r="D11" s="1">
        <v>762879</v>
      </c>
      <c r="E11" s="1">
        <v>8.83</v>
      </c>
      <c r="H11" s="1" t="s">
        <v>0</v>
      </c>
      <c r="I11" s="1" t="s">
        <v>34</v>
      </c>
      <c r="J11" s="1" t="s">
        <v>35</v>
      </c>
      <c r="K11" s="1"/>
    </row>
    <row r="12" spans="1:11" x14ac:dyDescent="0.3">
      <c r="A12" s="1" t="s">
        <v>13</v>
      </c>
      <c r="B12" s="1">
        <v>750429</v>
      </c>
      <c r="C12" s="1">
        <v>8.09</v>
      </c>
      <c r="D12" s="1">
        <v>668813</v>
      </c>
      <c r="E12" s="1">
        <v>7.74</v>
      </c>
      <c r="H12" s="1" t="s">
        <v>5</v>
      </c>
      <c r="I12" s="1">
        <f>B4</f>
        <v>467924</v>
      </c>
      <c r="J12" s="1">
        <f>D4</f>
        <v>435180</v>
      </c>
      <c r="K12" s="1">
        <f>SUM(I12:J12)</f>
        <v>903104</v>
      </c>
    </row>
    <row r="13" spans="1:11" x14ac:dyDescent="0.3">
      <c r="A13" s="1" t="s">
        <v>14</v>
      </c>
      <c r="B13" s="1">
        <v>691036</v>
      </c>
      <c r="C13" s="1">
        <v>7.45</v>
      </c>
      <c r="D13" s="1">
        <v>626694</v>
      </c>
      <c r="E13" s="1">
        <v>7.26</v>
      </c>
      <c r="H13" s="1" t="s">
        <v>6</v>
      </c>
      <c r="I13" s="1">
        <f t="shared" ref="I13:I28" si="0">B5</f>
        <v>549055</v>
      </c>
      <c r="J13" s="1">
        <f t="shared" ref="J13:J28" si="1">D5</f>
        <v>512886</v>
      </c>
      <c r="K13" s="1">
        <f t="shared" ref="K13:K28" si="2">SUM(I13:J13)</f>
        <v>1061941</v>
      </c>
    </row>
    <row r="14" spans="1:11" x14ac:dyDescent="0.3">
      <c r="A14" s="1" t="s">
        <v>15</v>
      </c>
      <c r="B14" s="1">
        <v>614090</v>
      </c>
      <c r="C14" s="1">
        <v>6.62</v>
      </c>
      <c r="D14" s="1">
        <v>522746</v>
      </c>
      <c r="E14" s="1">
        <v>6.05</v>
      </c>
      <c r="H14" s="1" t="s">
        <v>7</v>
      </c>
      <c r="I14" s="1">
        <f t="shared" si="0"/>
        <v>668432</v>
      </c>
      <c r="J14" s="1">
        <f t="shared" si="1"/>
        <v>608635</v>
      </c>
      <c r="K14" s="1">
        <f t="shared" si="2"/>
        <v>1277067</v>
      </c>
    </row>
    <row r="15" spans="1:11" x14ac:dyDescent="0.3">
      <c r="A15" s="1" t="s">
        <v>16</v>
      </c>
      <c r="B15" s="1">
        <v>493790</v>
      </c>
      <c r="C15" s="1">
        <v>5.33</v>
      </c>
      <c r="D15" s="1">
        <v>421841</v>
      </c>
      <c r="E15" s="1">
        <v>4.88</v>
      </c>
      <c r="H15" s="1" t="s">
        <v>8</v>
      </c>
      <c r="I15" s="1">
        <f t="shared" si="0"/>
        <v>741228</v>
      </c>
      <c r="J15" s="1">
        <f t="shared" si="1"/>
        <v>687300</v>
      </c>
      <c r="K15" s="1">
        <f t="shared" si="2"/>
        <v>1428528</v>
      </c>
    </row>
    <row r="16" spans="1:11" x14ac:dyDescent="0.3">
      <c r="A16" s="1" t="s">
        <v>17</v>
      </c>
      <c r="B16" s="1">
        <v>412334</v>
      </c>
      <c r="C16" s="1">
        <v>4.45</v>
      </c>
      <c r="D16" s="1">
        <v>362420</v>
      </c>
      <c r="E16" s="1">
        <v>4.2</v>
      </c>
      <c r="H16" s="1" t="s">
        <v>9</v>
      </c>
      <c r="I16" s="1">
        <f t="shared" si="0"/>
        <v>790540</v>
      </c>
      <c r="J16" s="1">
        <f t="shared" si="1"/>
        <v>774825</v>
      </c>
      <c r="K16" s="1">
        <f t="shared" si="2"/>
        <v>1565365</v>
      </c>
    </row>
    <row r="17" spans="1:15" x14ac:dyDescent="0.3">
      <c r="A17" s="1" t="s">
        <v>18</v>
      </c>
      <c r="B17" s="1">
        <v>270170</v>
      </c>
      <c r="C17" s="1">
        <v>2.91</v>
      </c>
      <c r="D17" s="1">
        <v>246024</v>
      </c>
      <c r="E17" s="1">
        <v>2.85</v>
      </c>
      <c r="H17" s="1" t="s">
        <v>10</v>
      </c>
      <c r="I17" s="1">
        <f t="shared" si="0"/>
        <v>801517</v>
      </c>
      <c r="J17" s="1">
        <f t="shared" si="1"/>
        <v>798539</v>
      </c>
      <c r="K17" s="1">
        <f t="shared" si="2"/>
        <v>1600056</v>
      </c>
    </row>
    <row r="18" spans="1:15" x14ac:dyDescent="0.3">
      <c r="A18" s="1" t="s">
        <v>19</v>
      </c>
      <c r="B18" s="1">
        <v>214022</v>
      </c>
      <c r="C18" s="1">
        <v>2.31</v>
      </c>
      <c r="D18" s="1">
        <v>195316</v>
      </c>
      <c r="E18" s="1">
        <v>2.2599999999999998</v>
      </c>
      <c r="H18" s="1" t="s">
        <v>11</v>
      </c>
      <c r="I18" s="1">
        <f t="shared" si="0"/>
        <v>767757</v>
      </c>
      <c r="J18" s="1">
        <f t="shared" si="1"/>
        <v>745459</v>
      </c>
      <c r="K18" s="1">
        <f t="shared" si="2"/>
        <v>1513216</v>
      </c>
    </row>
    <row r="19" spans="1:15" x14ac:dyDescent="0.3">
      <c r="A19" s="1" t="s">
        <v>20</v>
      </c>
      <c r="B19" s="1">
        <v>262818</v>
      </c>
      <c r="C19" s="1">
        <v>2.83</v>
      </c>
      <c r="D19" s="1">
        <v>267816</v>
      </c>
      <c r="E19" s="1">
        <v>3.1</v>
      </c>
      <c r="H19" s="1" t="s">
        <v>12</v>
      </c>
      <c r="I19" s="1">
        <f t="shared" si="0"/>
        <v>775804</v>
      </c>
      <c r="J19" s="1">
        <f t="shared" si="1"/>
        <v>762879</v>
      </c>
      <c r="K19" s="1">
        <f t="shared" si="2"/>
        <v>1538683</v>
      </c>
    </row>
    <row r="20" spans="1:15" x14ac:dyDescent="0.3">
      <c r="A20" s="1" t="s">
        <v>24</v>
      </c>
      <c r="B20" s="1">
        <f>SUM(B4:B19)</f>
        <v>9270946</v>
      </c>
      <c r="C20" s="1">
        <f>SUM(C4:C19)</f>
        <v>100</v>
      </c>
      <c r="D20" s="1">
        <f>SUM(D4:D19)</f>
        <v>8637373</v>
      </c>
      <c r="E20" s="1">
        <f>SUM(E4:E19)</f>
        <v>100.00999999999999</v>
      </c>
      <c r="H20" s="1" t="s">
        <v>13</v>
      </c>
      <c r="I20" s="1">
        <f t="shared" si="0"/>
        <v>750429</v>
      </c>
      <c r="J20" s="1">
        <f t="shared" si="1"/>
        <v>668813</v>
      </c>
      <c r="K20" s="1">
        <f t="shared" si="2"/>
        <v>1419242</v>
      </c>
    </row>
    <row r="21" spans="1:15" x14ac:dyDescent="0.3">
      <c r="H21" s="1" t="s">
        <v>14</v>
      </c>
      <c r="I21" s="1">
        <f t="shared" si="0"/>
        <v>691036</v>
      </c>
      <c r="J21" s="1">
        <f t="shared" si="1"/>
        <v>626694</v>
      </c>
      <c r="K21" s="1">
        <f t="shared" si="2"/>
        <v>1317730</v>
      </c>
    </row>
    <row r="22" spans="1:15" x14ac:dyDescent="0.3">
      <c r="H22" s="1" t="s">
        <v>15</v>
      </c>
      <c r="I22" s="1">
        <f t="shared" si="0"/>
        <v>614090</v>
      </c>
      <c r="J22" s="1">
        <f t="shared" si="1"/>
        <v>522746</v>
      </c>
      <c r="K22" s="1">
        <f t="shared" si="2"/>
        <v>1136836</v>
      </c>
    </row>
    <row r="23" spans="1:15" x14ac:dyDescent="0.3">
      <c r="H23" s="1" t="s">
        <v>16</v>
      </c>
      <c r="I23" s="1">
        <f t="shared" si="0"/>
        <v>493790</v>
      </c>
      <c r="J23" s="1">
        <f t="shared" si="1"/>
        <v>421841</v>
      </c>
      <c r="K23" s="1">
        <f t="shared" si="2"/>
        <v>915631</v>
      </c>
    </row>
    <row r="24" spans="1:15" x14ac:dyDescent="0.3">
      <c r="H24" s="1" t="s">
        <v>17</v>
      </c>
      <c r="I24" s="1">
        <f t="shared" si="0"/>
        <v>412334</v>
      </c>
      <c r="J24" s="1">
        <f t="shared" si="1"/>
        <v>362420</v>
      </c>
      <c r="K24" s="1">
        <f t="shared" si="2"/>
        <v>774754</v>
      </c>
      <c r="N24" s="6" t="s">
        <v>51</v>
      </c>
      <c r="O24" s="6" t="s">
        <v>46</v>
      </c>
    </row>
    <row r="25" spans="1:15" x14ac:dyDescent="0.3">
      <c r="H25" s="1" t="s">
        <v>18</v>
      </c>
      <c r="I25" s="1">
        <f t="shared" si="0"/>
        <v>270170</v>
      </c>
      <c r="J25" s="1">
        <f t="shared" si="1"/>
        <v>246024</v>
      </c>
      <c r="K25" s="1">
        <f t="shared" si="2"/>
        <v>516194</v>
      </c>
      <c r="N25" s="1" t="str">
        <f>H6</f>
        <v>West Bengal</v>
      </c>
      <c r="O25" s="1">
        <v>17908319</v>
      </c>
    </row>
    <row r="26" spans="1:15" x14ac:dyDescent="0.3">
      <c r="H26" s="1" t="s">
        <v>19</v>
      </c>
      <c r="I26" s="1">
        <f t="shared" si="0"/>
        <v>214022</v>
      </c>
      <c r="J26" s="1">
        <f t="shared" si="1"/>
        <v>195316</v>
      </c>
      <c r="K26" s="1">
        <f t="shared" si="2"/>
        <v>409338</v>
      </c>
      <c r="N26" s="1"/>
      <c r="O26" s="1"/>
    </row>
    <row r="27" spans="1:15" x14ac:dyDescent="0.3">
      <c r="H27" s="1" t="s">
        <v>20</v>
      </c>
      <c r="I27" s="1">
        <f t="shared" si="0"/>
        <v>262818</v>
      </c>
      <c r="J27" s="1">
        <f t="shared" si="1"/>
        <v>267816</v>
      </c>
      <c r="K27" s="1">
        <f t="shared" si="2"/>
        <v>530634</v>
      </c>
      <c r="N27" s="1"/>
      <c r="O27" s="1"/>
    </row>
    <row r="28" spans="1:15" x14ac:dyDescent="0.3">
      <c r="H28" s="1" t="s">
        <v>24</v>
      </c>
      <c r="I28" s="1">
        <f t="shared" si="0"/>
        <v>9270946</v>
      </c>
      <c r="J28" s="1">
        <f t="shared" si="1"/>
        <v>8637373</v>
      </c>
      <c r="K28" s="1">
        <f t="shared" si="2"/>
        <v>17908319</v>
      </c>
    </row>
  </sheetData>
  <mergeCells count="4">
    <mergeCell ref="A1:E1"/>
    <mergeCell ref="A2:A3"/>
    <mergeCell ref="B2:C2"/>
    <mergeCell ref="D2:E2"/>
  </mergeCells>
  <conditionalFormatting sqref="I12:I28">
    <cfRule type="duplicateValues" dxfId="3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4"/>
  <sheetViews>
    <sheetView topLeftCell="B1" zoomScale="87" workbookViewId="0">
      <selection activeCell="N22" sqref="N22:O25"/>
    </sheetView>
  </sheetViews>
  <sheetFormatPr defaultRowHeight="14.4" x14ac:dyDescent="0.3"/>
  <cols>
    <col min="1" max="1" width="13" customWidth="1"/>
    <col min="2" max="2" width="15.88671875" customWidth="1"/>
    <col min="3" max="3" width="10.6640625" customWidth="1"/>
    <col min="4" max="4" width="16.5546875" customWidth="1"/>
    <col min="5" max="5" width="16.109375" customWidth="1"/>
    <col min="8" max="8" width="11.21875" bestFit="1" customWidth="1"/>
    <col min="9" max="11" width="9" bestFit="1" customWidth="1"/>
    <col min="14" max="14" width="11.21875" bestFit="1" customWidth="1"/>
    <col min="15" max="15" width="9" bestFit="1" customWidth="1"/>
  </cols>
  <sheetData>
    <row r="1" spans="1:11" x14ac:dyDescent="0.3">
      <c r="A1" s="19" t="s">
        <v>56</v>
      </c>
      <c r="B1" s="19"/>
      <c r="C1" s="19"/>
      <c r="D1" s="19"/>
      <c r="E1" s="19"/>
    </row>
    <row r="2" spans="1:11" x14ac:dyDescent="0.3">
      <c r="A2" s="19" t="s">
        <v>26</v>
      </c>
      <c r="B2" s="19" t="s">
        <v>22</v>
      </c>
      <c r="C2" s="19"/>
      <c r="D2" s="19" t="s">
        <v>27</v>
      </c>
      <c r="E2" s="19"/>
    </row>
    <row r="3" spans="1:11" x14ac:dyDescent="0.3">
      <c r="A3" s="19"/>
      <c r="B3" s="1" t="s">
        <v>1</v>
      </c>
      <c r="C3" s="1" t="s">
        <v>2</v>
      </c>
      <c r="D3" s="1" t="s">
        <v>3</v>
      </c>
      <c r="E3" s="1" t="s">
        <v>4</v>
      </c>
      <c r="H3" t="s">
        <v>38</v>
      </c>
    </row>
    <row r="4" spans="1:11" x14ac:dyDescent="0.3">
      <c r="A4" s="1" t="s">
        <v>5</v>
      </c>
      <c r="B4" s="1">
        <v>536659</v>
      </c>
      <c r="C4" s="1">
        <v>8.7899999999999991</v>
      </c>
      <c r="D4" s="1">
        <v>481700</v>
      </c>
      <c r="E4" s="1">
        <v>8.1999999999999993</v>
      </c>
    </row>
    <row r="5" spans="1:11" x14ac:dyDescent="0.3">
      <c r="A5" s="1" t="s">
        <v>6</v>
      </c>
      <c r="B5" s="1">
        <v>529645</v>
      </c>
      <c r="C5" s="1">
        <v>8.68</v>
      </c>
      <c r="D5" s="1">
        <v>482961</v>
      </c>
      <c r="E5" s="1">
        <v>8.2200000000000006</v>
      </c>
      <c r="H5" s="1" t="s">
        <v>51</v>
      </c>
      <c r="I5" s="1" t="s">
        <v>34</v>
      </c>
      <c r="J5" s="1" t="s">
        <v>35</v>
      </c>
      <c r="K5" s="1" t="s">
        <v>46</v>
      </c>
    </row>
    <row r="6" spans="1:11" x14ac:dyDescent="0.3">
      <c r="A6" s="1" t="s">
        <v>7</v>
      </c>
      <c r="B6" s="1">
        <v>554264</v>
      </c>
      <c r="C6" s="1">
        <v>9.08</v>
      </c>
      <c r="D6" s="1">
        <v>511179</v>
      </c>
      <c r="E6" s="1">
        <v>8.6999999999999993</v>
      </c>
      <c r="H6" s="1" t="str">
        <f>A1</f>
        <v>TELANGANA</v>
      </c>
      <c r="I6" s="1">
        <f>B20</f>
        <v>6105012</v>
      </c>
      <c r="J6" s="1">
        <f>D20</f>
        <v>5876194</v>
      </c>
      <c r="K6" s="1">
        <f>SUM(I6:J6)</f>
        <v>11981206</v>
      </c>
    </row>
    <row r="7" spans="1:11" x14ac:dyDescent="0.3">
      <c r="A7" s="1" t="s">
        <v>8</v>
      </c>
      <c r="B7" s="1">
        <v>557914</v>
      </c>
      <c r="C7" s="1">
        <v>9.14</v>
      </c>
      <c r="D7" s="1">
        <v>524476</v>
      </c>
      <c r="E7" s="1">
        <v>8.93</v>
      </c>
      <c r="H7" s="1" t="str">
        <f>A23</f>
        <v>TAMIL NADU</v>
      </c>
      <c r="I7" s="1">
        <f>B42</f>
        <v>11878264</v>
      </c>
      <c r="J7" s="1">
        <f>D42</f>
        <v>11884496</v>
      </c>
      <c r="K7" s="1">
        <f t="shared" ref="K7:K8" si="0">SUM(I7:J7)</f>
        <v>23762760</v>
      </c>
    </row>
    <row r="8" spans="1:11" x14ac:dyDescent="0.3">
      <c r="A8" s="1" t="s">
        <v>9</v>
      </c>
      <c r="B8" s="1">
        <v>608182</v>
      </c>
      <c r="C8" s="1">
        <v>9.9600000000000009</v>
      </c>
      <c r="D8" s="1">
        <v>667316</v>
      </c>
      <c r="E8" s="1">
        <v>11.36</v>
      </c>
      <c r="H8" s="1" t="str">
        <f>A45</f>
        <v>KARNATAKA</v>
      </c>
      <c r="I8" s="1">
        <f>B64</f>
        <v>13657989</v>
      </c>
      <c r="J8" s="1">
        <f>D64</f>
        <v>12649689</v>
      </c>
      <c r="K8" s="1">
        <f t="shared" si="0"/>
        <v>26307678</v>
      </c>
    </row>
    <row r="9" spans="1:11" x14ac:dyDescent="0.3">
      <c r="A9" s="1" t="s">
        <v>10</v>
      </c>
      <c r="B9" s="1">
        <v>608772</v>
      </c>
      <c r="C9" s="1">
        <v>9.9700000000000006</v>
      </c>
      <c r="D9" s="1">
        <v>658960</v>
      </c>
      <c r="E9" s="1">
        <v>11.21</v>
      </c>
      <c r="H9" s="1"/>
      <c r="I9" s="1">
        <f>SUM(I6:I8)</f>
        <v>31641265</v>
      </c>
      <c r="J9" s="1">
        <f>SUM(J6:J8)</f>
        <v>30410379</v>
      </c>
      <c r="K9" s="1">
        <f>SUM(K6:K8)</f>
        <v>62051644</v>
      </c>
    </row>
    <row r="10" spans="1:11" x14ac:dyDescent="0.3">
      <c r="A10" s="1" t="s">
        <v>11</v>
      </c>
      <c r="B10" s="1">
        <v>552547</v>
      </c>
      <c r="C10" s="1">
        <v>9.0500000000000007</v>
      </c>
      <c r="D10" s="1">
        <v>541113</v>
      </c>
      <c r="E10" s="1">
        <v>9.2100000000000009</v>
      </c>
    </row>
    <row r="11" spans="1:11" x14ac:dyDescent="0.3">
      <c r="A11" s="1" t="s">
        <v>12</v>
      </c>
      <c r="B11" s="1">
        <v>474927</v>
      </c>
      <c r="C11" s="1">
        <v>7.78</v>
      </c>
      <c r="D11" s="1">
        <v>448062</v>
      </c>
      <c r="E11" s="1">
        <v>7.63</v>
      </c>
    </row>
    <row r="12" spans="1:11" x14ac:dyDescent="0.3">
      <c r="A12" s="1" t="s">
        <v>13</v>
      </c>
      <c r="B12" s="1">
        <v>415600</v>
      </c>
      <c r="C12" s="1">
        <v>6.81</v>
      </c>
      <c r="D12" s="1">
        <v>391858</v>
      </c>
      <c r="E12" s="1">
        <v>6.67</v>
      </c>
      <c r="H12" s="4" t="s">
        <v>49</v>
      </c>
    </row>
    <row r="13" spans="1:11" x14ac:dyDescent="0.3">
      <c r="A13" s="1" t="s">
        <v>14</v>
      </c>
      <c r="B13" s="1">
        <v>329306</v>
      </c>
      <c r="C13" s="1">
        <v>5.39</v>
      </c>
      <c r="D13" s="1">
        <v>305649</v>
      </c>
      <c r="E13" s="1">
        <v>5.2</v>
      </c>
    </row>
    <row r="14" spans="1:11" x14ac:dyDescent="0.3">
      <c r="A14" s="1" t="s">
        <v>15</v>
      </c>
      <c r="B14" s="1">
        <v>269254</v>
      </c>
      <c r="C14" s="1">
        <v>4.41</v>
      </c>
      <c r="D14" s="1">
        <v>244505</v>
      </c>
      <c r="E14" s="1">
        <v>4.16</v>
      </c>
      <c r="H14" s="1" t="s">
        <v>0</v>
      </c>
      <c r="I14" s="1" t="s">
        <v>34</v>
      </c>
      <c r="J14" s="1" t="s">
        <v>35</v>
      </c>
      <c r="K14" s="1"/>
    </row>
    <row r="15" spans="1:11" x14ac:dyDescent="0.3">
      <c r="A15" s="1" t="s">
        <v>16</v>
      </c>
      <c r="B15" s="1">
        <v>215759</v>
      </c>
      <c r="C15" s="1">
        <v>3.53</v>
      </c>
      <c r="D15" s="1">
        <v>190110</v>
      </c>
      <c r="E15" s="1">
        <v>3.24</v>
      </c>
      <c r="H15" s="1" t="s">
        <v>5</v>
      </c>
      <c r="I15" s="1">
        <f>B4+B26+B48</f>
        <v>2449439</v>
      </c>
      <c r="J15" s="1">
        <f>D4+D26+D48</f>
        <v>2294628</v>
      </c>
      <c r="K15" s="1">
        <f>SUM(I15:J15)</f>
        <v>4744067</v>
      </c>
    </row>
    <row r="16" spans="1:11" x14ac:dyDescent="0.3">
      <c r="A16" s="1" t="s">
        <v>17</v>
      </c>
      <c r="B16" s="1">
        <v>170645</v>
      </c>
      <c r="C16" s="1">
        <v>2.8</v>
      </c>
      <c r="D16" s="1">
        <v>152705</v>
      </c>
      <c r="E16" s="1">
        <v>2.6</v>
      </c>
      <c r="H16" s="1" t="s">
        <v>6</v>
      </c>
      <c r="I16" s="1">
        <f t="shared" ref="I16:I30" si="1">B5+B27+B49</f>
        <v>2315787</v>
      </c>
      <c r="J16" s="1">
        <f t="shared" ref="J16:J30" si="2">D5+D27+D49</f>
        <v>2173176</v>
      </c>
      <c r="K16" s="1">
        <f t="shared" ref="K16:K31" si="3">SUM(I16:J16)</f>
        <v>4488963</v>
      </c>
    </row>
    <row r="17" spans="1:15" x14ac:dyDescent="0.3">
      <c r="A17" s="1" t="s">
        <v>18</v>
      </c>
      <c r="B17" s="1">
        <v>110479</v>
      </c>
      <c r="C17" s="1">
        <v>1.81</v>
      </c>
      <c r="D17" s="1">
        <v>98167</v>
      </c>
      <c r="E17" s="1">
        <v>1.67</v>
      </c>
      <c r="H17" s="1" t="s">
        <v>7</v>
      </c>
      <c r="I17" s="1">
        <f t="shared" si="1"/>
        <v>2377787</v>
      </c>
      <c r="J17" s="1">
        <f t="shared" si="2"/>
        <v>2236179</v>
      </c>
      <c r="K17" s="1">
        <f t="shared" si="3"/>
        <v>4613966</v>
      </c>
    </row>
    <row r="18" spans="1:15" x14ac:dyDescent="0.3">
      <c r="A18" s="1" t="s">
        <v>19</v>
      </c>
      <c r="B18" s="1">
        <v>72447</v>
      </c>
      <c r="C18" s="1">
        <v>1.19</v>
      </c>
      <c r="D18" s="1">
        <v>68069</v>
      </c>
      <c r="E18" s="1">
        <v>1.1599999999999999</v>
      </c>
      <c r="H18" s="1" t="s">
        <v>8</v>
      </c>
      <c r="I18" s="1">
        <f t="shared" si="1"/>
        <v>2465238</v>
      </c>
      <c r="J18" s="1">
        <f t="shared" si="2"/>
        <v>2346451</v>
      </c>
      <c r="K18" s="1">
        <f t="shared" si="3"/>
        <v>4811689</v>
      </c>
    </row>
    <row r="19" spans="1:15" x14ac:dyDescent="0.3">
      <c r="A19" s="1" t="s">
        <v>20</v>
      </c>
      <c r="B19" s="1">
        <v>98612</v>
      </c>
      <c r="C19" s="1">
        <v>1.62</v>
      </c>
      <c r="D19" s="1">
        <v>109364</v>
      </c>
      <c r="E19" s="1">
        <v>1.86</v>
      </c>
      <c r="H19" s="1" t="s">
        <v>9</v>
      </c>
      <c r="I19" s="1">
        <f t="shared" si="1"/>
        <v>3116730</v>
      </c>
      <c r="J19" s="1">
        <f t="shared" si="2"/>
        <v>3195260</v>
      </c>
      <c r="K19" s="1">
        <f t="shared" si="3"/>
        <v>6311990</v>
      </c>
    </row>
    <row r="20" spans="1:15" x14ac:dyDescent="0.3">
      <c r="A20" s="1" t="s">
        <v>24</v>
      </c>
      <c r="B20" s="1">
        <f>SUM(B4:B19)</f>
        <v>6105012</v>
      </c>
      <c r="C20" s="1">
        <f>SUM(C4:C19)</f>
        <v>100.01</v>
      </c>
      <c r="D20" s="1">
        <f>SUM(D4:D19)</f>
        <v>5876194</v>
      </c>
      <c r="E20" s="1">
        <f>SUM(E4:E19)</f>
        <v>100.01999999999998</v>
      </c>
      <c r="H20" s="1" t="s">
        <v>10</v>
      </c>
      <c r="I20" s="1">
        <f t="shared" si="1"/>
        <v>3463720</v>
      </c>
      <c r="J20" s="1">
        <f t="shared" si="2"/>
        <v>3556704</v>
      </c>
      <c r="K20" s="1">
        <f t="shared" si="3"/>
        <v>7020424</v>
      </c>
    </row>
    <row r="21" spans="1:15" x14ac:dyDescent="0.3">
      <c r="H21" s="1" t="s">
        <v>11</v>
      </c>
      <c r="I21" s="1">
        <f t="shared" si="1"/>
        <v>3106821</v>
      </c>
      <c r="J21" s="1">
        <f t="shared" si="2"/>
        <v>2889728</v>
      </c>
      <c r="K21" s="1">
        <f t="shared" si="3"/>
        <v>5996549</v>
      </c>
    </row>
    <row r="22" spans="1:15" x14ac:dyDescent="0.3">
      <c r="H22" s="1" t="s">
        <v>12</v>
      </c>
      <c r="I22" s="1">
        <f t="shared" si="1"/>
        <v>2744292</v>
      </c>
      <c r="J22" s="1">
        <f t="shared" si="2"/>
        <v>2574956</v>
      </c>
      <c r="K22" s="1">
        <f t="shared" si="3"/>
        <v>5319248</v>
      </c>
      <c r="N22" s="6" t="s">
        <v>51</v>
      </c>
      <c r="O22" s="6" t="s">
        <v>46</v>
      </c>
    </row>
    <row r="23" spans="1:15" x14ac:dyDescent="0.3">
      <c r="A23" s="19" t="s">
        <v>57</v>
      </c>
      <c r="B23" s="19"/>
      <c r="C23" s="19"/>
      <c r="D23" s="19"/>
      <c r="E23" s="19"/>
      <c r="H23" s="1" t="s">
        <v>13</v>
      </c>
      <c r="I23" s="1">
        <f t="shared" si="1"/>
        <v>2266831</v>
      </c>
      <c r="J23" s="1">
        <f t="shared" si="2"/>
        <v>2056376</v>
      </c>
      <c r="K23" s="1">
        <f t="shared" si="3"/>
        <v>4323207</v>
      </c>
      <c r="N23" s="1" t="str" cm="1">
        <f t="array" ref="N23:N25">H6:H8</f>
        <v>TELANGANA</v>
      </c>
      <c r="O23" s="1">
        <v>11981206</v>
      </c>
    </row>
    <row r="24" spans="1:15" x14ac:dyDescent="0.3">
      <c r="A24" s="19" t="s">
        <v>0</v>
      </c>
      <c r="B24" s="19" t="s">
        <v>22</v>
      </c>
      <c r="C24" s="19"/>
      <c r="D24" s="19" t="s">
        <v>27</v>
      </c>
      <c r="E24" s="19"/>
      <c r="H24" s="1" t="s">
        <v>14</v>
      </c>
      <c r="I24" s="1">
        <f t="shared" si="1"/>
        <v>1907449</v>
      </c>
      <c r="J24" s="1">
        <f t="shared" si="2"/>
        <v>1799741</v>
      </c>
      <c r="K24" s="1">
        <f t="shared" si="3"/>
        <v>3707190</v>
      </c>
      <c r="N24" s="1" t="str">
        <v>TAMIL NADU</v>
      </c>
      <c r="O24" s="1">
        <v>23762760</v>
      </c>
    </row>
    <row r="25" spans="1:15" x14ac:dyDescent="0.3">
      <c r="A25" s="19"/>
      <c r="B25" s="1" t="s">
        <v>1</v>
      </c>
      <c r="C25" s="1" t="s">
        <v>2</v>
      </c>
      <c r="D25" s="1" t="s">
        <v>3</v>
      </c>
      <c r="E25" s="1" t="s">
        <v>4</v>
      </c>
      <c r="H25" s="1" t="s">
        <v>15</v>
      </c>
      <c r="I25" s="1">
        <f t="shared" si="1"/>
        <v>1498630</v>
      </c>
      <c r="J25" s="1">
        <f t="shared" si="2"/>
        <v>1402851</v>
      </c>
      <c r="K25" s="1">
        <f t="shared" si="3"/>
        <v>2901481</v>
      </c>
      <c r="N25" s="1" t="str">
        <v>KARNATAKA</v>
      </c>
      <c r="O25" s="1">
        <v>26307678</v>
      </c>
    </row>
    <row r="26" spans="1:15" x14ac:dyDescent="0.3">
      <c r="A26" s="1" t="s">
        <v>5</v>
      </c>
      <c r="B26" s="1">
        <v>865729</v>
      </c>
      <c r="C26" s="1">
        <v>7.29</v>
      </c>
      <c r="D26" s="1">
        <v>817122</v>
      </c>
      <c r="E26" s="1">
        <v>6.88</v>
      </c>
      <c r="H26" s="1" t="s">
        <v>16</v>
      </c>
      <c r="I26" s="1">
        <f t="shared" si="1"/>
        <v>1248791</v>
      </c>
      <c r="J26" s="1">
        <f t="shared" si="2"/>
        <v>1170242</v>
      </c>
      <c r="K26" s="1">
        <f t="shared" si="3"/>
        <v>2419033</v>
      </c>
    </row>
    <row r="27" spans="1:15" x14ac:dyDescent="0.3">
      <c r="A27" s="1" t="s">
        <v>6</v>
      </c>
      <c r="B27" s="1">
        <v>806818</v>
      </c>
      <c r="C27" s="1">
        <v>6.81</v>
      </c>
      <c r="D27" s="1">
        <v>767355</v>
      </c>
      <c r="E27" s="1">
        <v>6.46</v>
      </c>
      <c r="H27" s="1" t="s">
        <v>17</v>
      </c>
      <c r="I27" s="1">
        <f t="shared" si="1"/>
        <v>1021376</v>
      </c>
      <c r="J27" s="1">
        <f t="shared" si="2"/>
        <v>979722</v>
      </c>
      <c r="K27" s="1">
        <f t="shared" si="3"/>
        <v>2001098</v>
      </c>
    </row>
    <row r="28" spans="1:15" x14ac:dyDescent="0.3">
      <c r="A28" s="1" t="s">
        <v>7</v>
      </c>
      <c r="B28" s="1">
        <v>852549</v>
      </c>
      <c r="C28" s="1">
        <v>7.18</v>
      </c>
      <c r="D28" s="1">
        <v>809423</v>
      </c>
      <c r="E28" s="1">
        <v>6.81</v>
      </c>
      <c r="H28" s="1" t="s">
        <v>18</v>
      </c>
      <c r="I28" s="1">
        <f t="shared" si="1"/>
        <v>638837</v>
      </c>
      <c r="J28" s="1">
        <f t="shared" si="2"/>
        <v>642720</v>
      </c>
      <c r="K28" s="1">
        <f t="shared" si="3"/>
        <v>1281557</v>
      </c>
    </row>
    <row r="29" spans="1:15" x14ac:dyDescent="0.3">
      <c r="A29" s="1" t="s">
        <v>8</v>
      </c>
      <c r="B29" s="1">
        <v>881394</v>
      </c>
      <c r="C29" s="1">
        <v>7.42</v>
      </c>
      <c r="D29" s="1">
        <v>844903</v>
      </c>
      <c r="E29" s="1">
        <v>7.11</v>
      </c>
      <c r="H29" s="1" t="s">
        <v>19</v>
      </c>
      <c r="I29" s="1">
        <f t="shared" si="1"/>
        <v>460740</v>
      </c>
      <c r="J29" s="1">
        <f t="shared" si="2"/>
        <v>462818</v>
      </c>
      <c r="K29" s="1">
        <f t="shared" si="3"/>
        <v>923558</v>
      </c>
    </row>
    <row r="30" spans="1:15" x14ac:dyDescent="0.3">
      <c r="A30" s="1" t="s">
        <v>9</v>
      </c>
      <c r="B30" s="1">
        <v>1015359</v>
      </c>
      <c r="C30" s="1">
        <v>8.5500000000000007</v>
      </c>
      <c r="D30" s="1">
        <v>1095047</v>
      </c>
      <c r="E30" s="1">
        <v>9.2100000000000009</v>
      </c>
      <c r="H30" s="1" t="s">
        <v>20</v>
      </c>
      <c r="I30" s="1">
        <f t="shared" si="1"/>
        <v>558797</v>
      </c>
      <c r="J30" s="1">
        <f t="shared" si="2"/>
        <v>628827</v>
      </c>
      <c r="K30" s="1">
        <f t="shared" si="3"/>
        <v>1187624</v>
      </c>
    </row>
    <row r="31" spans="1:15" x14ac:dyDescent="0.3">
      <c r="A31" s="1" t="s">
        <v>10</v>
      </c>
      <c r="B31" s="1">
        <v>1151901</v>
      </c>
      <c r="C31" s="1">
        <v>9.6999999999999993</v>
      </c>
      <c r="D31" s="1">
        <v>1255066</v>
      </c>
      <c r="E31" s="1">
        <v>10.56</v>
      </c>
      <c r="H31" s="1" t="s">
        <v>24</v>
      </c>
      <c r="I31" s="1">
        <f>SUM(I15:I30)</f>
        <v>31641265</v>
      </c>
      <c r="J31" s="1">
        <f>SUM(J15:J30)</f>
        <v>30410379</v>
      </c>
      <c r="K31" s="1">
        <f t="shared" si="3"/>
        <v>62051644</v>
      </c>
    </row>
    <row r="32" spans="1:15" x14ac:dyDescent="0.3">
      <c r="A32" s="1" t="s">
        <v>11</v>
      </c>
      <c r="B32" s="1">
        <v>1089118</v>
      </c>
      <c r="C32" s="1">
        <v>9.17</v>
      </c>
      <c r="D32" s="1">
        <v>1096715</v>
      </c>
      <c r="E32" s="1">
        <v>9.23</v>
      </c>
    </row>
    <row r="33" spans="1:5" x14ac:dyDescent="0.3">
      <c r="A33" s="1" t="s">
        <v>12</v>
      </c>
      <c r="B33" s="1">
        <v>1032043</v>
      </c>
      <c r="C33" s="1">
        <v>8.69</v>
      </c>
      <c r="D33" s="1">
        <v>1052833</v>
      </c>
      <c r="E33" s="1">
        <v>8.86</v>
      </c>
    </row>
    <row r="34" spans="1:5" x14ac:dyDescent="0.3">
      <c r="A34" s="1" t="s">
        <v>13</v>
      </c>
      <c r="B34" s="1">
        <v>934031</v>
      </c>
      <c r="C34" s="1">
        <v>7.87</v>
      </c>
      <c r="D34" s="1">
        <v>899118</v>
      </c>
      <c r="E34" s="1">
        <v>7.57</v>
      </c>
    </row>
    <row r="35" spans="1:5" x14ac:dyDescent="0.3">
      <c r="A35" s="1" t="s">
        <v>14</v>
      </c>
      <c r="B35" s="1">
        <v>820375</v>
      </c>
      <c r="C35" s="1">
        <v>6.91</v>
      </c>
      <c r="D35" s="1">
        <v>807391</v>
      </c>
      <c r="E35" s="1">
        <v>6.79</v>
      </c>
    </row>
    <row r="36" spans="1:5" x14ac:dyDescent="0.3">
      <c r="A36" s="1" t="s">
        <v>15</v>
      </c>
      <c r="B36" s="1">
        <v>665797</v>
      </c>
      <c r="C36" s="1">
        <v>5.6</v>
      </c>
      <c r="D36" s="1">
        <v>632325</v>
      </c>
      <c r="E36" s="1">
        <v>5.32</v>
      </c>
    </row>
    <row r="37" spans="1:5" x14ac:dyDescent="0.3">
      <c r="A37" s="1" t="s">
        <v>16</v>
      </c>
      <c r="B37" s="1">
        <v>572283</v>
      </c>
      <c r="C37" s="1">
        <v>4.82</v>
      </c>
      <c r="D37" s="1">
        <v>532870</v>
      </c>
      <c r="E37" s="1">
        <v>4.4800000000000004</v>
      </c>
    </row>
    <row r="38" spans="1:5" x14ac:dyDescent="0.3">
      <c r="A38" s="1" t="s">
        <v>17</v>
      </c>
      <c r="B38" s="1">
        <v>454152</v>
      </c>
      <c r="C38" s="1">
        <v>3.82</v>
      </c>
      <c r="D38" s="1">
        <v>447286</v>
      </c>
      <c r="E38" s="1">
        <v>3.76</v>
      </c>
    </row>
    <row r="39" spans="1:5" x14ac:dyDescent="0.3">
      <c r="A39" s="1" t="s">
        <v>18</v>
      </c>
      <c r="B39" s="1">
        <v>270434</v>
      </c>
      <c r="C39" s="1">
        <v>2.2799999999999998</v>
      </c>
      <c r="D39" s="1">
        <v>296007</v>
      </c>
      <c r="E39" s="1">
        <v>2.4900000000000002</v>
      </c>
    </row>
    <row r="40" spans="1:5" x14ac:dyDescent="0.3">
      <c r="A40" s="1" t="s">
        <v>19</v>
      </c>
      <c r="B40" s="1">
        <v>216246</v>
      </c>
      <c r="C40" s="1">
        <v>1.82</v>
      </c>
      <c r="D40" s="1">
        <v>234394</v>
      </c>
      <c r="E40" s="1">
        <v>1.97</v>
      </c>
    </row>
    <row r="41" spans="1:5" x14ac:dyDescent="0.3">
      <c r="A41" s="1" t="s">
        <v>20</v>
      </c>
      <c r="B41" s="1">
        <v>250035</v>
      </c>
      <c r="C41" s="1">
        <v>2.1</v>
      </c>
      <c r="D41" s="1">
        <v>296641</v>
      </c>
      <c r="E41" s="1">
        <v>2.5</v>
      </c>
    </row>
    <row r="42" spans="1:5" x14ac:dyDescent="0.3">
      <c r="A42" s="1" t="s">
        <v>24</v>
      </c>
      <c r="B42" s="1">
        <f>SUM(B26:B41)</f>
        <v>11878264</v>
      </c>
      <c r="C42" s="1">
        <f>SUM(C26:C41)</f>
        <v>100.02999999999997</v>
      </c>
      <c r="D42" s="1">
        <f>SUM(D26:D41)</f>
        <v>11884496</v>
      </c>
      <c r="E42" s="1">
        <f>SUM(E26:E41)</f>
        <v>100.00000000000001</v>
      </c>
    </row>
    <row r="45" spans="1:5" x14ac:dyDescent="0.3">
      <c r="A45" s="19" t="s">
        <v>58</v>
      </c>
      <c r="B45" s="19"/>
      <c r="C45" s="19"/>
      <c r="D45" s="19"/>
      <c r="E45" s="19"/>
    </row>
    <row r="46" spans="1:5" x14ac:dyDescent="0.3">
      <c r="A46" s="19" t="s">
        <v>0</v>
      </c>
      <c r="B46" s="19" t="s">
        <v>22</v>
      </c>
      <c r="C46" s="19"/>
      <c r="D46" s="19" t="s">
        <v>27</v>
      </c>
      <c r="E46" s="19"/>
    </row>
    <row r="47" spans="1:5" x14ac:dyDescent="0.3">
      <c r="A47" s="19"/>
      <c r="B47" s="1" t="s">
        <v>1</v>
      </c>
      <c r="C47" s="1" t="s">
        <v>2</v>
      </c>
      <c r="D47" s="1" t="s">
        <v>3</v>
      </c>
      <c r="E47" s="1" t="s">
        <v>4</v>
      </c>
    </row>
    <row r="48" spans="1:5" x14ac:dyDescent="0.3">
      <c r="A48" s="1" t="s">
        <v>5</v>
      </c>
      <c r="B48" s="1">
        <v>1047051</v>
      </c>
      <c r="C48" s="1">
        <v>7.67</v>
      </c>
      <c r="D48" s="1">
        <v>995806</v>
      </c>
      <c r="E48" s="1">
        <v>7.87</v>
      </c>
    </row>
    <row r="49" spans="1:5" x14ac:dyDescent="0.3">
      <c r="A49" s="1" t="s">
        <v>6</v>
      </c>
      <c r="B49" s="1">
        <v>979324</v>
      </c>
      <c r="C49" s="1">
        <v>7.17</v>
      </c>
      <c r="D49" s="1">
        <v>922860</v>
      </c>
      <c r="E49" s="1">
        <v>7.3</v>
      </c>
    </row>
    <row r="50" spans="1:5" x14ac:dyDescent="0.3">
      <c r="A50" s="1" t="s">
        <v>7</v>
      </c>
      <c r="B50" s="1">
        <v>970974</v>
      </c>
      <c r="C50" s="1">
        <v>7.11</v>
      </c>
      <c r="D50" s="1">
        <v>915577</v>
      </c>
      <c r="E50" s="1">
        <v>7.24</v>
      </c>
    </row>
    <row r="51" spans="1:5" x14ac:dyDescent="0.3">
      <c r="A51" s="1" t="s">
        <v>8</v>
      </c>
      <c r="B51" s="1">
        <v>1025930</v>
      </c>
      <c r="C51" s="1">
        <v>7.51</v>
      </c>
      <c r="D51" s="1">
        <v>977072</v>
      </c>
      <c r="E51" s="1">
        <v>7.72</v>
      </c>
    </row>
    <row r="52" spans="1:5" x14ac:dyDescent="0.3">
      <c r="A52" s="1" t="s">
        <v>9</v>
      </c>
      <c r="B52" s="1">
        <v>1493189</v>
      </c>
      <c r="C52" s="1">
        <v>10.93</v>
      </c>
      <c r="D52" s="1">
        <v>1432897</v>
      </c>
      <c r="E52" s="1">
        <v>11.33</v>
      </c>
    </row>
    <row r="53" spans="1:5" x14ac:dyDescent="0.3">
      <c r="A53" s="1" t="s">
        <v>10</v>
      </c>
      <c r="B53" s="1">
        <v>1703047</v>
      </c>
      <c r="C53" s="1">
        <v>12.47</v>
      </c>
      <c r="D53" s="1">
        <v>1642678</v>
      </c>
      <c r="E53" s="1">
        <v>12.99</v>
      </c>
    </row>
    <row r="54" spans="1:5" x14ac:dyDescent="0.3">
      <c r="A54" s="1" t="s">
        <v>11</v>
      </c>
      <c r="B54" s="1">
        <v>1465156</v>
      </c>
      <c r="C54" s="1">
        <v>10.73</v>
      </c>
      <c r="D54" s="1">
        <v>1251900</v>
      </c>
      <c r="E54" s="1">
        <v>9.9</v>
      </c>
    </row>
    <row r="55" spans="1:5" x14ac:dyDescent="0.3">
      <c r="A55" s="1" t="s">
        <v>12</v>
      </c>
      <c r="B55" s="1">
        <v>1237322</v>
      </c>
      <c r="C55" s="1">
        <v>9.06</v>
      </c>
      <c r="D55" s="1">
        <v>1074061</v>
      </c>
      <c r="E55" s="1">
        <v>8.49</v>
      </c>
    </row>
    <row r="56" spans="1:5" x14ac:dyDescent="0.3">
      <c r="A56" s="1" t="s">
        <v>13</v>
      </c>
      <c r="B56" s="1">
        <v>917200</v>
      </c>
      <c r="C56" s="1">
        <v>6.72</v>
      </c>
      <c r="D56" s="1">
        <v>765400</v>
      </c>
      <c r="E56" s="1">
        <v>6.05</v>
      </c>
    </row>
    <row r="57" spans="1:5" x14ac:dyDescent="0.3">
      <c r="A57" s="1" t="s">
        <v>14</v>
      </c>
      <c r="B57" s="1">
        <v>757768</v>
      </c>
      <c r="C57" s="1">
        <v>5.55</v>
      </c>
      <c r="D57" s="1">
        <v>686701</v>
      </c>
      <c r="E57" s="1">
        <v>5.43</v>
      </c>
    </row>
    <row r="58" spans="1:5" x14ac:dyDescent="0.3">
      <c r="A58" s="1" t="s">
        <v>15</v>
      </c>
      <c r="B58" s="1">
        <v>563579</v>
      </c>
      <c r="C58" s="1">
        <v>4.13</v>
      </c>
      <c r="D58" s="1">
        <v>526021</v>
      </c>
      <c r="E58" s="1">
        <v>4.16</v>
      </c>
    </row>
    <row r="59" spans="1:5" x14ac:dyDescent="0.3">
      <c r="A59" s="1" t="s">
        <v>16</v>
      </c>
      <c r="B59" s="1">
        <v>460749</v>
      </c>
      <c r="C59" s="1">
        <v>3.37</v>
      </c>
      <c r="D59" s="1">
        <v>447262</v>
      </c>
      <c r="E59" s="1">
        <v>3.54</v>
      </c>
    </row>
    <row r="60" spans="1:5" x14ac:dyDescent="0.3">
      <c r="A60" s="1" t="s">
        <v>17</v>
      </c>
      <c r="B60" s="1">
        <v>396579</v>
      </c>
      <c r="C60" s="1">
        <v>2.9</v>
      </c>
      <c r="D60" s="1">
        <v>379731</v>
      </c>
      <c r="E60" s="1">
        <v>3</v>
      </c>
    </row>
    <row r="61" spans="1:5" x14ac:dyDescent="0.3">
      <c r="A61" s="1" t="s">
        <v>18</v>
      </c>
      <c r="B61" s="1">
        <v>257924</v>
      </c>
      <c r="C61" s="1">
        <v>1.89</v>
      </c>
      <c r="D61" s="1">
        <v>248546</v>
      </c>
      <c r="E61" s="1">
        <v>1.96</v>
      </c>
    </row>
    <row r="62" spans="1:5" x14ac:dyDescent="0.3">
      <c r="A62" s="1" t="s">
        <v>19</v>
      </c>
      <c r="B62" s="1">
        <v>172047</v>
      </c>
      <c r="C62" s="1">
        <v>1.26</v>
      </c>
      <c r="D62" s="1">
        <v>160355</v>
      </c>
      <c r="E62" s="1">
        <v>1.27</v>
      </c>
    </row>
    <row r="63" spans="1:5" x14ac:dyDescent="0.3">
      <c r="A63" s="1" t="s">
        <v>20</v>
      </c>
      <c r="B63" s="1">
        <v>210150</v>
      </c>
      <c r="C63" s="1">
        <v>1.54</v>
      </c>
      <c r="D63" s="1">
        <v>222822</v>
      </c>
      <c r="E63" s="1">
        <v>1.76</v>
      </c>
    </row>
    <row r="64" spans="1:5" x14ac:dyDescent="0.3">
      <c r="A64" s="1" t="s">
        <v>24</v>
      </c>
      <c r="B64" s="1">
        <f>SUM(B48:B63)</f>
        <v>13657989</v>
      </c>
      <c r="C64" s="1">
        <f>SUM(C48:C63)</f>
        <v>100.01000000000002</v>
      </c>
      <c r="D64" s="1">
        <f>SUM(D48:D63)</f>
        <v>12649689</v>
      </c>
      <c r="E64" s="1">
        <f>SUM(E48:E63)</f>
        <v>100.00999999999999</v>
      </c>
    </row>
  </sheetData>
  <mergeCells count="12">
    <mergeCell ref="A45:E45"/>
    <mergeCell ref="A46:A47"/>
    <mergeCell ref="B46:C46"/>
    <mergeCell ref="D46:E46"/>
    <mergeCell ref="A1:E1"/>
    <mergeCell ref="A2:A3"/>
    <mergeCell ref="B2:C2"/>
    <mergeCell ref="D2:E2"/>
    <mergeCell ref="A23:E23"/>
    <mergeCell ref="A24:A25"/>
    <mergeCell ref="B24:C24"/>
    <mergeCell ref="D24:E24"/>
  </mergeCells>
  <conditionalFormatting sqref="I15:I31 J31">
    <cfRule type="duplicateValues" dxfId="2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AE94-F07D-41FF-BA34-D18FFF9B82FB}">
  <dimension ref="A1:K43"/>
  <sheetViews>
    <sheetView topLeftCell="A5" workbookViewId="0">
      <selection activeCell="H13" sqref="H13:I15"/>
    </sheetView>
  </sheetViews>
  <sheetFormatPr defaultRowHeight="14.4" x14ac:dyDescent="0.3"/>
  <cols>
    <col min="2" max="2" width="12.88671875" bestFit="1" customWidth="1"/>
    <col min="3" max="3" width="7.77734375" bestFit="1" customWidth="1"/>
    <col min="4" max="4" width="14.77734375" bestFit="1" customWidth="1"/>
    <col min="5" max="5" width="9.5546875" bestFit="1" customWidth="1"/>
    <col min="8" max="8" width="15.44140625" customWidth="1"/>
  </cols>
  <sheetData>
    <row r="1" spans="1:11" x14ac:dyDescent="0.3">
      <c r="A1" s="19" t="s">
        <v>54</v>
      </c>
      <c r="B1" s="19"/>
      <c r="C1" s="19"/>
      <c r="D1" s="19"/>
      <c r="E1" s="19"/>
    </row>
    <row r="2" spans="1:11" x14ac:dyDescent="0.3">
      <c r="A2" s="19" t="s">
        <v>0</v>
      </c>
      <c r="B2" s="19" t="s">
        <v>22</v>
      </c>
      <c r="C2" s="19"/>
      <c r="D2" s="19" t="s">
        <v>23</v>
      </c>
      <c r="E2" s="19"/>
    </row>
    <row r="3" spans="1:11" x14ac:dyDescent="0.3">
      <c r="A3" s="19"/>
      <c r="B3" s="1" t="s">
        <v>1</v>
      </c>
      <c r="C3" s="1" t="s">
        <v>2</v>
      </c>
      <c r="D3" s="1" t="s">
        <v>3</v>
      </c>
      <c r="E3" s="1" t="s">
        <v>4</v>
      </c>
    </row>
    <row r="4" spans="1:11" x14ac:dyDescent="0.3">
      <c r="A4" s="1" t="s">
        <v>5</v>
      </c>
      <c r="B4" s="1">
        <v>406876</v>
      </c>
      <c r="C4" s="1">
        <v>7.67</v>
      </c>
      <c r="D4" s="1">
        <v>353240</v>
      </c>
      <c r="E4" s="1">
        <v>7.42</v>
      </c>
      <c r="H4" t="s">
        <v>53</v>
      </c>
    </row>
    <row r="5" spans="1:11" x14ac:dyDescent="0.3">
      <c r="A5" s="1" t="s">
        <v>6</v>
      </c>
      <c r="B5" s="1">
        <v>429082</v>
      </c>
      <c r="C5" s="1">
        <v>8.08</v>
      </c>
      <c r="D5" s="1">
        <v>348633</v>
      </c>
      <c r="E5" s="1">
        <v>7.33</v>
      </c>
    </row>
    <row r="6" spans="1:11" x14ac:dyDescent="0.3">
      <c r="A6" s="1" t="s">
        <v>7</v>
      </c>
      <c r="B6" s="1">
        <v>483269</v>
      </c>
      <c r="C6" s="1">
        <v>9.11</v>
      </c>
      <c r="D6" s="1">
        <v>353028</v>
      </c>
      <c r="E6" s="1">
        <v>7.42</v>
      </c>
      <c r="H6" s="1" t="s">
        <v>51</v>
      </c>
      <c r="I6" s="1" t="s">
        <v>34</v>
      </c>
      <c r="J6" s="1" t="s">
        <v>35</v>
      </c>
      <c r="K6" s="1" t="s">
        <v>46</v>
      </c>
    </row>
    <row r="7" spans="1:11" x14ac:dyDescent="0.3">
      <c r="A7" s="1" t="s">
        <v>8</v>
      </c>
      <c r="B7" s="1">
        <v>555818</v>
      </c>
      <c r="C7" s="1">
        <v>10.47</v>
      </c>
      <c r="D7" s="1">
        <v>430335</v>
      </c>
      <c r="E7" s="1">
        <v>9.0500000000000007</v>
      </c>
      <c r="H7" s="1" t="str">
        <f>A1</f>
        <v>PUNJAB</v>
      </c>
      <c r="I7" s="1">
        <f>B20</f>
        <v>5307582</v>
      </c>
      <c r="J7" s="1">
        <f>D20</f>
        <v>5657477</v>
      </c>
      <c r="K7" s="1">
        <f>SUM(I7:J7)</f>
        <v>10965059</v>
      </c>
    </row>
    <row r="8" spans="1:11" x14ac:dyDescent="0.3">
      <c r="A8" s="1" t="s">
        <v>9</v>
      </c>
      <c r="B8" s="1">
        <v>547583</v>
      </c>
      <c r="C8" s="1">
        <v>10.32</v>
      </c>
      <c r="D8" s="1">
        <v>510891</v>
      </c>
      <c r="E8" s="1">
        <v>10.74</v>
      </c>
      <c r="H8" s="1" t="str">
        <f>A23</f>
        <v>DELHI</v>
      </c>
      <c r="I8" s="1">
        <f>B42</f>
        <v>27621988</v>
      </c>
      <c r="J8" s="1">
        <f>D42</f>
        <v>24301032</v>
      </c>
      <c r="K8" s="1">
        <f>SUM(I8:J8)</f>
        <v>51923020</v>
      </c>
    </row>
    <row r="9" spans="1:11" x14ac:dyDescent="0.3">
      <c r="A9" s="1" t="s">
        <v>10</v>
      </c>
      <c r="B9" s="1">
        <v>501746</v>
      </c>
      <c r="C9" s="1">
        <v>9.4499999999999993</v>
      </c>
      <c r="D9" s="1">
        <v>462163</v>
      </c>
      <c r="E9" s="1">
        <v>9.7100000000000009</v>
      </c>
      <c r="H9" s="1" t="s">
        <v>46</v>
      </c>
      <c r="I9" s="1">
        <f>SUM(I7:I8)</f>
        <v>32929570</v>
      </c>
      <c r="J9" s="1">
        <f>SUM(J7:J8)</f>
        <v>29958509</v>
      </c>
      <c r="K9" s="1">
        <f>SUM(K7:K8)</f>
        <v>62888079</v>
      </c>
    </row>
    <row r="10" spans="1:11" x14ac:dyDescent="0.3">
      <c r="A10" s="1" t="s">
        <v>11</v>
      </c>
      <c r="B10" s="1">
        <v>413416</v>
      </c>
      <c r="C10" s="1">
        <v>7.79</v>
      </c>
      <c r="D10" s="1">
        <v>383615</v>
      </c>
      <c r="E10" s="1">
        <v>8.06</v>
      </c>
    </row>
    <row r="11" spans="1:11" x14ac:dyDescent="0.3">
      <c r="A11" s="1" t="s">
        <v>12</v>
      </c>
      <c r="B11" s="1">
        <v>366166</v>
      </c>
      <c r="C11" s="1">
        <v>6.9</v>
      </c>
      <c r="D11" s="1">
        <v>353703</v>
      </c>
      <c r="E11" s="1">
        <v>7.43</v>
      </c>
    </row>
    <row r="12" spans="1:11" x14ac:dyDescent="0.3">
      <c r="A12" s="1" t="s">
        <v>13</v>
      </c>
      <c r="B12" s="1">
        <v>334160</v>
      </c>
      <c r="C12" s="1">
        <v>6.3</v>
      </c>
      <c r="D12" s="1">
        <v>336737</v>
      </c>
      <c r="E12" s="1">
        <v>7.08</v>
      </c>
    </row>
    <row r="13" spans="1:11" x14ac:dyDescent="0.3">
      <c r="A13" s="1" t="s">
        <v>14</v>
      </c>
      <c r="B13" s="1">
        <v>316511</v>
      </c>
      <c r="C13" s="1">
        <v>5.96</v>
      </c>
      <c r="D13" s="1">
        <v>295411</v>
      </c>
      <c r="E13" s="1">
        <v>6.21</v>
      </c>
      <c r="H13" s="6" t="s">
        <v>51</v>
      </c>
      <c r="I13" s="6" t="s">
        <v>46</v>
      </c>
    </row>
    <row r="14" spans="1:11" x14ac:dyDescent="0.3">
      <c r="A14" s="1" t="s">
        <v>15</v>
      </c>
      <c r="B14" s="1">
        <v>246506</v>
      </c>
      <c r="C14" s="1">
        <v>4.6399999999999997</v>
      </c>
      <c r="D14" s="1">
        <v>226275</v>
      </c>
      <c r="E14" s="1">
        <v>4.76</v>
      </c>
      <c r="H14" s="1" t="s">
        <v>54</v>
      </c>
      <c r="I14" s="1">
        <v>10065059</v>
      </c>
    </row>
    <row r="15" spans="1:11" x14ac:dyDescent="0.3">
      <c r="A15" s="1" t="s">
        <v>16</v>
      </c>
      <c r="B15" s="1">
        <v>180701</v>
      </c>
      <c r="C15" s="1">
        <v>3.4</v>
      </c>
      <c r="D15" s="1">
        <v>179855</v>
      </c>
      <c r="E15" s="1">
        <v>3.78</v>
      </c>
      <c r="H15" s="1" t="s">
        <v>55</v>
      </c>
      <c r="I15" s="1">
        <v>51923020</v>
      </c>
    </row>
    <row r="16" spans="1:11" x14ac:dyDescent="0.3">
      <c r="A16" s="1" t="s">
        <v>17</v>
      </c>
      <c r="B16" s="1">
        <v>182932</v>
      </c>
      <c r="C16" s="1">
        <v>3.45</v>
      </c>
      <c r="D16" s="1">
        <v>204950</v>
      </c>
      <c r="E16" s="1">
        <v>4.3099999999999996</v>
      </c>
      <c r="H16" s="1"/>
      <c r="I16" s="1"/>
    </row>
    <row r="17" spans="1:11" x14ac:dyDescent="0.3">
      <c r="A17" s="1" t="s">
        <v>18</v>
      </c>
      <c r="B17" s="1">
        <v>142929</v>
      </c>
      <c r="C17" s="1">
        <v>2.69</v>
      </c>
      <c r="D17" s="1">
        <v>124507</v>
      </c>
      <c r="E17" s="1">
        <v>2.62</v>
      </c>
    </row>
    <row r="18" spans="1:11" x14ac:dyDescent="0.3">
      <c r="A18" s="1" t="s">
        <v>19</v>
      </c>
      <c r="B18" s="1">
        <v>94586</v>
      </c>
      <c r="C18" s="1">
        <v>1.78</v>
      </c>
      <c r="D18" s="1">
        <v>85475</v>
      </c>
      <c r="E18" s="1">
        <v>1.8</v>
      </c>
    </row>
    <row r="19" spans="1:11" x14ac:dyDescent="0.3">
      <c r="A19" s="1" t="s">
        <v>20</v>
      </c>
      <c r="B19" s="1">
        <v>105301</v>
      </c>
      <c r="C19" s="1">
        <v>1.98</v>
      </c>
      <c r="D19" s="1">
        <v>1008659</v>
      </c>
      <c r="E19" s="1">
        <v>2.2799999999999998</v>
      </c>
      <c r="H19" s="1" t="s">
        <v>0</v>
      </c>
      <c r="I19" s="1" t="s">
        <v>34</v>
      </c>
      <c r="J19" s="1" t="s">
        <v>35</v>
      </c>
      <c r="K19" s="1"/>
    </row>
    <row r="20" spans="1:11" x14ac:dyDescent="0.3">
      <c r="A20" s="1" t="s">
        <v>24</v>
      </c>
      <c r="B20" s="1">
        <v>5307582</v>
      </c>
      <c r="C20" s="1">
        <v>100</v>
      </c>
      <c r="D20" s="1">
        <v>5657477</v>
      </c>
      <c r="E20" s="1">
        <v>100</v>
      </c>
      <c r="H20" s="1" t="s">
        <v>5</v>
      </c>
      <c r="I20" s="1">
        <f>B4+B26</f>
        <v>2574074</v>
      </c>
      <c r="J20" s="1">
        <f>D4+D26</f>
        <v>2273621</v>
      </c>
      <c r="K20" s="1">
        <f>SUM(I20:J20)</f>
        <v>4847695</v>
      </c>
    </row>
    <row r="21" spans="1:11" x14ac:dyDescent="0.3">
      <c r="D21">
        <f>SUM(D4:D19)</f>
        <v>5657477</v>
      </c>
      <c r="H21" s="1" t="s">
        <v>6</v>
      </c>
      <c r="I21" s="1">
        <f t="shared" ref="I21:I35" si="0">B5+B27</f>
        <v>2880491</v>
      </c>
      <c r="J21" s="1">
        <f t="shared" ref="J21:J34" si="1">D5+D27</f>
        <v>2429032</v>
      </c>
      <c r="K21" s="1">
        <f t="shared" ref="K21:K36" si="2">SUM(I21:J21)</f>
        <v>5309523</v>
      </c>
    </row>
    <row r="22" spans="1:11" x14ac:dyDescent="0.3">
      <c r="H22" s="1" t="s">
        <v>7</v>
      </c>
      <c r="I22" s="1">
        <f t="shared" si="0"/>
        <v>3170704</v>
      </c>
      <c r="J22" s="1">
        <f t="shared" si="1"/>
        <v>2599546</v>
      </c>
      <c r="K22" s="1">
        <f t="shared" si="2"/>
        <v>5770250</v>
      </c>
    </row>
    <row r="23" spans="1:11" x14ac:dyDescent="0.3">
      <c r="A23" s="19" t="s">
        <v>55</v>
      </c>
      <c r="B23" s="19"/>
      <c r="C23" s="19"/>
      <c r="D23" s="19"/>
      <c r="E23" s="19"/>
      <c r="H23" s="1" t="s">
        <v>8</v>
      </c>
      <c r="I23" s="1">
        <f t="shared" si="0"/>
        <v>3369383</v>
      </c>
      <c r="J23" s="1">
        <f t="shared" si="1"/>
        <v>2724781</v>
      </c>
      <c r="K23" s="1">
        <f t="shared" si="2"/>
        <v>6094164</v>
      </c>
    </row>
    <row r="24" spans="1:11" x14ac:dyDescent="0.3">
      <c r="A24" s="19" t="s">
        <v>0</v>
      </c>
      <c r="B24" s="19" t="s">
        <v>22</v>
      </c>
      <c r="C24" s="19"/>
      <c r="D24" s="19" t="s">
        <v>23</v>
      </c>
      <c r="E24" s="19"/>
      <c r="H24" s="1" t="s">
        <v>9</v>
      </c>
      <c r="I24" s="1">
        <f t="shared" si="0"/>
        <v>3464738</v>
      </c>
      <c r="J24" s="1">
        <f t="shared" si="1"/>
        <v>3069896</v>
      </c>
      <c r="K24" s="1">
        <f t="shared" si="2"/>
        <v>6534634</v>
      </c>
    </row>
    <row r="25" spans="1:11" x14ac:dyDescent="0.3">
      <c r="A25" s="19"/>
      <c r="B25" s="1" t="s">
        <v>1</v>
      </c>
      <c r="C25" s="1" t="s">
        <v>2</v>
      </c>
      <c r="D25" s="1" t="s">
        <v>3</v>
      </c>
      <c r="E25" s="1" t="s">
        <v>4</v>
      </c>
      <c r="H25" s="1" t="s">
        <v>10</v>
      </c>
      <c r="I25" s="1">
        <f t="shared" si="0"/>
        <v>3205239</v>
      </c>
      <c r="J25" s="1">
        <f t="shared" si="1"/>
        <v>2942857</v>
      </c>
      <c r="K25" s="1">
        <f t="shared" si="2"/>
        <v>6148096</v>
      </c>
    </row>
    <row r="26" spans="1:11" x14ac:dyDescent="0.3">
      <c r="A26" s="1" t="s">
        <v>5</v>
      </c>
      <c r="B26" s="1">
        <v>2167198</v>
      </c>
      <c r="C26" s="1">
        <v>7.85</v>
      </c>
      <c r="D26" s="1">
        <v>1920381</v>
      </c>
      <c r="E26" s="1">
        <v>7.9</v>
      </c>
      <c r="H26" s="1" t="s">
        <v>11</v>
      </c>
      <c r="I26" s="1">
        <f t="shared" si="0"/>
        <v>2756339</v>
      </c>
      <c r="J26" s="1">
        <f t="shared" si="1"/>
        <v>2510601</v>
      </c>
      <c r="K26" s="1">
        <f t="shared" si="2"/>
        <v>5266940</v>
      </c>
    </row>
    <row r="27" spans="1:11" x14ac:dyDescent="0.3">
      <c r="A27" s="1" t="s">
        <v>6</v>
      </c>
      <c r="B27" s="1">
        <v>2451409</v>
      </c>
      <c r="C27" s="1">
        <v>8.8699999999999992</v>
      </c>
      <c r="D27" s="1">
        <v>2080399</v>
      </c>
      <c r="E27" s="1">
        <v>8.56</v>
      </c>
      <c r="H27" s="1" t="s">
        <v>12</v>
      </c>
      <c r="I27" s="1">
        <f t="shared" si="0"/>
        <v>2525800</v>
      </c>
      <c r="J27" s="1">
        <f t="shared" si="1"/>
        <v>2303844</v>
      </c>
      <c r="K27" s="1">
        <f t="shared" si="2"/>
        <v>4829644</v>
      </c>
    </row>
    <row r="28" spans="1:11" x14ac:dyDescent="0.3">
      <c r="A28" s="1" t="s">
        <v>7</v>
      </c>
      <c r="B28" s="1">
        <v>2687435</v>
      </c>
      <c r="C28" s="1">
        <v>9.73</v>
      </c>
      <c r="D28" s="1">
        <v>2246518</v>
      </c>
      <c r="E28" s="1">
        <v>9.24</v>
      </c>
      <c r="H28" s="1" t="s">
        <v>13</v>
      </c>
      <c r="I28" s="1">
        <f t="shared" si="0"/>
        <v>2178950</v>
      </c>
      <c r="J28" s="1">
        <f t="shared" si="1"/>
        <v>1961432</v>
      </c>
      <c r="K28" s="1">
        <f t="shared" si="2"/>
        <v>4140382</v>
      </c>
    </row>
    <row r="29" spans="1:11" x14ac:dyDescent="0.3">
      <c r="A29" s="1" t="s">
        <v>8</v>
      </c>
      <c r="B29" s="1">
        <v>2813565</v>
      </c>
      <c r="C29" s="1">
        <v>10.19</v>
      </c>
      <c r="D29" s="1">
        <v>2294446</v>
      </c>
      <c r="E29" s="1">
        <v>9.44</v>
      </c>
      <c r="H29" s="1" t="s">
        <v>14</v>
      </c>
      <c r="I29" s="1">
        <f t="shared" si="0"/>
        <v>1893715</v>
      </c>
      <c r="J29" s="1">
        <f t="shared" si="1"/>
        <v>1643008</v>
      </c>
      <c r="K29" s="1">
        <f t="shared" si="2"/>
        <v>3536723</v>
      </c>
    </row>
    <row r="30" spans="1:11" x14ac:dyDescent="0.3">
      <c r="A30" s="1" t="s">
        <v>9</v>
      </c>
      <c r="B30" s="1">
        <v>2917155</v>
      </c>
      <c r="C30" s="1">
        <v>10.56</v>
      </c>
      <c r="D30" s="1">
        <v>2559005</v>
      </c>
      <c r="E30" s="1">
        <v>10.53</v>
      </c>
      <c r="H30" s="1" t="s">
        <v>15</v>
      </c>
      <c r="I30" s="1">
        <f t="shared" si="0"/>
        <v>1453380</v>
      </c>
      <c r="J30" s="1">
        <f t="shared" si="1"/>
        <v>1244599</v>
      </c>
      <c r="K30" s="1">
        <f t="shared" si="2"/>
        <v>2697979</v>
      </c>
    </row>
    <row r="31" spans="1:11" x14ac:dyDescent="0.3">
      <c r="A31" s="1" t="s">
        <v>10</v>
      </c>
      <c r="B31" s="1">
        <v>2703493</v>
      </c>
      <c r="C31" s="1">
        <v>9.7899999999999991</v>
      </c>
      <c r="D31" s="1">
        <v>2480694</v>
      </c>
      <c r="E31" s="1">
        <v>10.210000000000001</v>
      </c>
      <c r="H31" s="1" t="s">
        <v>16</v>
      </c>
      <c r="I31" s="1">
        <f t="shared" si="0"/>
        <v>1058341</v>
      </c>
      <c r="J31" s="1">
        <f t="shared" si="1"/>
        <v>968332</v>
      </c>
      <c r="K31" s="1">
        <f t="shared" si="2"/>
        <v>2026673</v>
      </c>
    </row>
    <row r="32" spans="1:11" x14ac:dyDescent="0.3">
      <c r="A32" s="1" t="s">
        <v>11</v>
      </c>
      <c r="B32" s="1">
        <v>2342923</v>
      </c>
      <c r="C32" s="1">
        <v>8.48</v>
      </c>
      <c r="D32" s="1">
        <v>2126986</v>
      </c>
      <c r="E32" s="1">
        <v>8.75</v>
      </c>
      <c r="H32" s="1" t="s">
        <v>17</v>
      </c>
      <c r="I32" s="1">
        <f t="shared" si="0"/>
        <v>969281</v>
      </c>
      <c r="J32" s="1">
        <f t="shared" si="1"/>
        <v>979972</v>
      </c>
      <c r="K32" s="1">
        <f t="shared" si="2"/>
        <v>1949253</v>
      </c>
    </row>
    <row r="33" spans="1:11" x14ac:dyDescent="0.3">
      <c r="A33" s="1" t="s">
        <v>12</v>
      </c>
      <c r="B33" s="1">
        <v>2159634</v>
      </c>
      <c r="C33" s="1">
        <v>7.82</v>
      </c>
      <c r="D33" s="1">
        <v>1950141</v>
      </c>
      <c r="E33" s="1">
        <v>8.02</v>
      </c>
      <c r="H33" s="1" t="s">
        <v>18</v>
      </c>
      <c r="I33" s="1">
        <f t="shared" si="0"/>
        <v>590409</v>
      </c>
      <c r="J33" s="1">
        <f t="shared" si="1"/>
        <v>548492</v>
      </c>
      <c r="K33" s="1">
        <f t="shared" si="2"/>
        <v>1138901</v>
      </c>
    </row>
    <row r="34" spans="1:11" x14ac:dyDescent="0.3">
      <c r="A34" s="1" t="s">
        <v>13</v>
      </c>
      <c r="B34" s="1">
        <v>1844790</v>
      </c>
      <c r="C34" s="1">
        <v>6.68</v>
      </c>
      <c r="D34" s="1">
        <v>1624695</v>
      </c>
      <c r="E34" s="1">
        <v>6.69</v>
      </c>
      <c r="H34" s="1" t="s">
        <v>19</v>
      </c>
      <c r="I34" s="1">
        <f t="shared" si="0"/>
        <v>396902</v>
      </c>
      <c r="J34" s="1">
        <f t="shared" si="1"/>
        <v>390547</v>
      </c>
      <c r="K34" s="1">
        <f t="shared" si="2"/>
        <v>787449</v>
      </c>
    </row>
    <row r="35" spans="1:11" x14ac:dyDescent="0.3">
      <c r="A35" s="1" t="s">
        <v>14</v>
      </c>
      <c r="B35" s="1">
        <v>1577204</v>
      </c>
      <c r="C35" s="1">
        <v>5.71</v>
      </c>
      <c r="D35" s="1">
        <v>1347597</v>
      </c>
      <c r="E35" s="1">
        <v>5.55</v>
      </c>
      <c r="H35" s="1" t="s">
        <v>20</v>
      </c>
      <c r="I35" s="1">
        <f t="shared" si="0"/>
        <v>441824</v>
      </c>
      <c r="J35" s="1">
        <f>D19+D41</f>
        <v>1367949</v>
      </c>
      <c r="K35" s="1">
        <f t="shared" si="2"/>
        <v>1809773</v>
      </c>
    </row>
    <row r="36" spans="1:11" x14ac:dyDescent="0.3">
      <c r="A36" s="1" t="s">
        <v>15</v>
      </c>
      <c r="B36" s="1">
        <v>1206874</v>
      </c>
      <c r="C36" s="1">
        <v>4.37</v>
      </c>
      <c r="D36" s="1">
        <v>1018324</v>
      </c>
      <c r="E36" s="1">
        <v>4.1900000000000004</v>
      </c>
      <c r="H36" s="1" t="s">
        <v>24</v>
      </c>
      <c r="I36" s="1">
        <f>SUM(I20:I35)</f>
        <v>32929570</v>
      </c>
      <c r="J36" s="1">
        <f>SUM(J20:J35)</f>
        <v>29958509</v>
      </c>
      <c r="K36" s="1">
        <f t="shared" si="2"/>
        <v>62888079</v>
      </c>
    </row>
    <row r="37" spans="1:11" x14ac:dyDescent="0.3">
      <c r="A37" s="1" t="s">
        <v>16</v>
      </c>
      <c r="B37" s="1">
        <v>877640</v>
      </c>
      <c r="C37" s="1">
        <v>3.18</v>
      </c>
      <c r="D37" s="1">
        <v>788477</v>
      </c>
      <c r="E37" s="1">
        <v>3.24</v>
      </c>
    </row>
    <row r="38" spans="1:11" x14ac:dyDescent="0.3">
      <c r="A38" s="1" t="s">
        <v>17</v>
      </c>
      <c r="B38" s="1">
        <v>786349</v>
      </c>
      <c r="C38" s="1">
        <v>2.85</v>
      </c>
      <c r="D38" s="1">
        <v>775022</v>
      </c>
      <c r="E38" s="1">
        <v>3.19</v>
      </c>
    </row>
    <row r="39" spans="1:11" x14ac:dyDescent="0.3">
      <c r="A39" s="1" t="s">
        <v>18</v>
      </c>
      <c r="B39" s="1">
        <v>447480</v>
      </c>
      <c r="C39" s="1">
        <v>1.62</v>
      </c>
      <c r="D39" s="1">
        <v>423985</v>
      </c>
      <c r="E39" s="1">
        <v>1.74</v>
      </c>
    </row>
    <row r="40" spans="1:11" x14ac:dyDescent="0.3">
      <c r="A40" s="1" t="s">
        <v>19</v>
      </c>
      <c r="B40" s="1">
        <v>302316</v>
      </c>
      <c r="C40" s="1">
        <v>1.0900000000000001</v>
      </c>
      <c r="D40" s="1">
        <v>305072</v>
      </c>
      <c r="E40" s="1">
        <v>1.26</v>
      </c>
    </row>
    <row r="41" spans="1:11" x14ac:dyDescent="0.3">
      <c r="A41" s="1" t="s">
        <v>20</v>
      </c>
      <c r="B41" s="1">
        <v>336523</v>
      </c>
      <c r="C41" s="1">
        <v>1.22</v>
      </c>
      <c r="D41" s="1">
        <v>359290</v>
      </c>
      <c r="E41" s="1">
        <v>1.48</v>
      </c>
    </row>
    <row r="42" spans="1:11" x14ac:dyDescent="0.3">
      <c r="A42" s="1" t="s">
        <v>24</v>
      </c>
      <c r="B42" s="1">
        <v>27621988</v>
      </c>
      <c r="C42" s="1">
        <v>100</v>
      </c>
      <c r="D42" s="1">
        <v>24301032</v>
      </c>
      <c r="E42" s="1">
        <v>100</v>
      </c>
    </row>
    <row r="43" spans="1:11" x14ac:dyDescent="0.3">
      <c r="D43">
        <f>SUM(D26:D41)</f>
        <v>24301032</v>
      </c>
    </row>
  </sheetData>
  <mergeCells count="8">
    <mergeCell ref="A24:A25"/>
    <mergeCell ref="B24:C24"/>
    <mergeCell ref="D24:E24"/>
    <mergeCell ref="A1:E1"/>
    <mergeCell ref="A2:A3"/>
    <mergeCell ref="B2:C2"/>
    <mergeCell ref="D2:E2"/>
    <mergeCell ref="A23:E23"/>
  </mergeCells>
  <conditionalFormatting sqref="J36 I20:I36">
    <cfRule type="duplicateValues" dxfId="1" priority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0D7A-BC31-4421-B7CB-8DA43B7FE67D}">
  <dimension ref="A1:J14"/>
  <sheetViews>
    <sheetView workbookViewId="0">
      <selection activeCell="I17" sqref="I17"/>
    </sheetView>
  </sheetViews>
  <sheetFormatPr defaultRowHeight="14.4" x14ac:dyDescent="0.3"/>
  <cols>
    <col min="1" max="1" width="31.5546875" bestFit="1" customWidth="1"/>
    <col min="2" max="2" width="13.5546875" customWidth="1"/>
    <col min="7" max="7" width="14.44140625" customWidth="1"/>
    <col min="9" max="9" width="14.21875" bestFit="1" customWidth="1"/>
    <col min="10" max="10" width="12" bestFit="1" customWidth="1"/>
  </cols>
  <sheetData>
    <row r="1" spans="1:10" x14ac:dyDescent="0.3">
      <c r="A1" t="s">
        <v>67</v>
      </c>
    </row>
    <row r="2" spans="1:10" ht="15" thickBot="1" x14ac:dyDescent="0.35"/>
    <row r="3" spans="1:10" x14ac:dyDescent="0.3">
      <c r="A3" s="11"/>
      <c r="B3" s="11" t="s">
        <v>68</v>
      </c>
      <c r="C3" s="11" t="s">
        <v>69</v>
      </c>
      <c r="G3">
        <f>_xlfn.T.TEST('Final Calc'!C5:C10,'Final Calc'!D5:D10,1,1)</f>
        <v>2.0143245074137422E-2</v>
      </c>
      <c r="I3" t="s">
        <v>50</v>
      </c>
      <c r="J3" t="s">
        <v>46</v>
      </c>
    </row>
    <row r="4" spans="1:10" x14ac:dyDescent="0.3">
      <c r="A4" t="s">
        <v>70</v>
      </c>
      <c r="B4">
        <v>43457196</v>
      </c>
      <c r="C4">
        <v>40833305.428571425</v>
      </c>
      <c r="G4">
        <f>_xlfn.Z.TEST('Final Calc'!L5:L10,3)</f>
        <v>3.1767093312845355E-5</v>
      </c>
      <c r="I4" t="s">
        <v>42</v>
      </c>
      <c r="J4">
        <v>41254260</v>
      </c>
    </row>
    <row r="5" spans="1:10" x14ac:dyDescent="0.3">
      <c r="A5" t="s">
        <v>71</v>
      </c>
      <c r="B5">
        <v>2503235265904081.5</v>
      </c>
      <c r="C5">
        <v>2206535547322789.8</v>
      </c>
      <c r="I5" t="s">
        <v>43</v>
      </c>
      <c r="J5">
        <v>89541595</v>
      </c>
    </row>
    <row r="6" spans="1:10" x14ac:dyDescent="0.3">
      <c r="A6" t="s">
        <v>72</v>
      </c>
      <c r="B6">
        <v>7</v>
      </c>
      <c r="C6">
        <v>7</v>
      </c>
      <c r="I6" t="s">
        <v>40</v>
      </c>
      <c r="J6">
        <v>54540323</v>
      </c>
    </row>
    <row r="7" spans="1:10" x14ac:dyDescent="0.3">
      <c r="A7" t="s">
        <v>73</v>
      </c>
      <c r="B7">
        <v>0.99988075998607373</v>
      </c>
      <c r="I7" t="s">
        <v>45</v>
      </c>
      <c r="J7">
        <v>157220197.5</v>
      </c>
    </row>
    <row r="8" spans="1:10" x14ac:dyDescent="0.3">
      <c r="A8" t="s">
        <v>74</v>
      </c>
      <c r="B8">
        <v>0</v>
      </c>
      <c r="I8" t="s">
        <v>44</v>
      </c>
      <c r="J8">
        <v>103419406.66666667</v>
      </c>
    </row>
    <row r="9" spans="1:10" x14ac:dyDescent="0.3">
      <c r="A9" t="s">
        <v>75</v>
      </c>
      <c r="B9">
        <v>6</v>
      </c>
      <c r="I9" t="s">
        <v>41</v>
      </c>
      <c r="J9">
        <v>223443845</v>
      </c>
    </row>
    <row r="10" spans="1:10" x14ac:dyDescent="0.3">
      <c r="A10" t="s">
        <v>76</v>
      </c>
      <c r="B10">
        <v>2.2046597978865696</v>
      </c>
    </row>
    <row r="11" spans="1:10" x14ac:dyDescent="0.3">
      <c r="A11" t="s">
        <v>77</v>
      </c>
      <c r="B11">
        <v>3.4826832670290485E-2</v>
      </c>
    </row>
    <row r="12" spans="1:10" x14ac:dyDescent="0.3">
      <c r="A12" t="s">
        <v>78</v>
      </c>
      <c r="B12">
        <v>1.9431802805153031</v>
      </c>
    </row>
    <row r="13" spans="1:10" x14ac:dyDescent="0.3">
      <c r="A13" t="s">
        <v>79</v>
      </c>
      <c r="B13">
        <v>6.965366534058097E-2</v>
      </c>
    </row>
    <row r="14" spans="1:10" ht="15" thickBot="1" x14ac:dyDescent="0.35">
      <c r="A14" s="10" t="s">
        <v>80</v>
      </c>
      <c r="B14" s="10">
        <v>2.4469118511449697</v>
      </c>
      <c r="C14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8D79-B328-4E24-890F-6DFE045A0D26}">
  <dimension ref="B2:M61"/>
  <sheetViews>
    <sheetView topLeftCell="C3" zoomScale="76" workbookViewId="0">
      <selection activeCell="H27" sqref="H27:I43"/>
    </sheetView>
  </sheetViews>
  <sheetFormatPr defaultRowHeight="14.4" x14ac:dyDescent="0.3"/>
  <cols>
    <col min="2" max="2" width="14.21875" bestFit="1" customWidth="1"/>
    <col min="3" max="5" width="10.77734375" bestFit="1" customWidth="1"/>
    <col min="6" max="6" width="9.6640625" bestFit="1" customWidth="1"/>
    <col min="7" max="7" width="10" bestFit="1" customWidth="1"/>
    <col min="8" max="8" width="10.77734375" bestFit="1" customWidth="1"/>
    <col min="9" max="9" width="12.33203125" bestFit="1" customWidth="1"/>
    <col min="10" max="10" width="10.77734375" bestFit="1" customWidth="1"/>
    <col min="11" max="12" width="14.21875" bestFit="1" customWidth="1"/>
    <col min="13" max="13" width="9.33203125" bestFit="1" customWidth="1"/>
  </cols>
  <sheetData>
    <row r="2" spans="2:13" x14ac:dyDescent="0.3">
      <c r="B2" t="s">
        <v>39</v>
      </c>
    </row>
    <row r="4" spans="2:13" x14ac:dyDescent="0.3">
      <c r="B4" s="1" t="s">
        <v>50</v>
      </c>
      <c r="C4" s="1" t="s">
        <v>34</v>
      </c>
      <c r="D4" s="1" t="s">
        <v>35</v>
      </c>
      <c r="E4" s="1" t="s">
        <v>46</v>
      </c>
      <c r="H4" s="6" t="s">
        <v>52</v>
      </c>
      <c r="I4" s="6" t="s">
        <v>46</v>
      </c>
      <c r="K4" s="6" t="s">
        <v>50</v>
      </c>
      <c r="L4" s="6" t="s">
        <v>46</v>
      </c>
    </row>
    <row r="5" spans="2:13" x14ac:dyDescent="0.3">
      <c r="B5" s="1" t="s">
        <v>42</v>
      </c>
      <c r="C5" s="1">
        <f>'CENTRAL ZONE'!C21</f>
        <v>4280917</v>
      </c>
      <c r="D5" s="1">
        <f>'CENTRAL ZONE'!K11</f>
        <v>3969935</v>
      </c>
      <c r="E5" s="1">
        <f>C5+D5</f>
        <v>8250852</v>
      </c>
      <c r="H5" s="1" t="s">
        <v>34</v>
      </c>
      <c r="I5" s="1">
        <f>C11</f>
        <v>152100186</v>
      </c>
      <c r="K5" s="1" t="s">
        <v>42</v>
      </c>
      <c r="L5" s="1">
        <f>M5*E5</f>
        <v>41254260</v>
      </c>
      <c r="M5" s="8">
        <v>5</v>
      </c>
    </row>
    <row r="6" spans="2:13" x14ac:dyDescent="0.3">
      <c r="B6" s="1" t="s">
        <v>43</v>
      </c>
      <c r="C6" s="1">
        <f>'EAST ZONE '!I7</f>
        <v>9270946</v>
      </c>
      <c r="D6" s="1">
        <f>'EAST ZONE '!J7</f>
        <v>8637373</v>
      </c>
      <c r="E6" s="1">
        <f t="shared" ref="E6:E11" si="0">C6+D6</f>
        <v>17908319</v>
      </c>
      <c r="H6" s="1" t="s">
        <v>35</v>
      </c>
      <c r="I6" s="1">
        <f>D11</f>
        <v>142916569</v>
      </c>
      <c r="K6" s="1" t="s">
        <v>43</v>
      </c>
      <c r="L6" s="1">
        <f t="shared" ref="L6:L10" si="1">M6*E6</f>
        <v>89541595</v>
      </c>
      <c r="M6" s="8">
        <v>5</v>
      </c>
    </row>
    <row r="7" spans="2:13" x14ac:dyDescent="0.3">
      <c r="B7" s="1" t="s">
        <v>40</v>
      </c>
      <c r="C7" s="1">
        <f>'NORTH EAST ZONE'!I12</f>
        <v>27541445</v>
      </c>
      <c r="D7" s="1">
        <f>'NORTH EAST ZONE'!J12</f>
        <v>26998878</v>
      </c>
      <c r="E7" s="1">
        <f t="shared" si="0"/>
        <v>54540323</v>
      </c>
      <c r="K7" s="1" t="s">
        <v>40</v>
      </c>
      <c r="L7" s="1">
        <f t="shared" si="1"/>
        <v>54540323</v>
      </c>
      <c r="M7" s="8">
        <v>1</v>
      </c>
    </row>
    <row r="8" spans="2:13" x14ac:dyDescent="0.3">
      <c r="B8" s="1" t="s">
        <v>45</v>
      </c>
      <c r="C8" s="1">
        <f>'North Zone'!I9</f>
        <v>32929570</v>
      </c>
      <c r="D8" s="1">
        <f>'North Zone'!J9</f>
        <v>29958509</v>
      </c>
      <c r="E8" s="1">
        <f t="shared" si="0"/>
        <v>62888079</v>
      </c>
      <c r="K8" s="1" t="s">
        <v>45</v>
      </c>
      <c r="L8" s="9">
        <f t="shared" si="1"/>
        <v>157220197.5</v>
      </c>
      <c r="M8" s="8">
        <v>2.5</v>
      </c>
    </row>
    <row r="9" spans="2:13" x14ac:dyDescent="0.3">
      <c r="B9" s="1" t="s">
        <v>44</v>
      </c>
      <c r="C9" s="1">
        <f>'SOUTH ZONE'!I9</f>
        <v>31641265</v>
      </c>
      <c r="D9" s="1">
        <f>'SOUTH ZONE'!J9</f>
        <v>30410379</v>
      </c>
      <c r="E9" s="1">
        <f t="shared" si="0"/>
        <v>62051644</v>
      </c>
      <c r="K9" s="1" t="s">
        <v>44</v>
      </c>
      <c r="L9" s="9">
        <f t="shared" si="1"/>
        <v>103419406.66666667</v>
      </c>
      <c r="M9" s="8">
        <v>1.6666666666666667</v>
      </c>
    </row>
    <row r="10" spans="2:13" x14ac:dyDescent="0.3">
      <c r="B10" s="1" t="s">
        <v>41</v>
      </c>
      <c r="C10" s="1">
        <f>'WEST ZONE'!H12</f>
        <v>46436043</v>
      </c>
      <c r="D10" s="1">
        <f>'WEST ZONE'!I12</f>
        <v>42941495</v>
      </c>
      <c r="E10" s="1">
        <f t="shared" si="0"/>
        <v>89377538</v>
      </c>
      <c r="G10" t="s">
        <v>50</v>
      </c>
      <c r="H10" t="s">
        <v>34</v>
      </c>
      <c r="I10" t="s">
        <v>35</v>
      </c>
      <c r="J10" t="s">
        <v>46</v>
      </c>
      <c r="K10" s="1" t="s">
        <v>41</v>
      </c>
      <c r="L10" s="1">
        <f t="shared" si="1"/>
        <v>223443845</v>
      </c>
      <c r="M10" s="8">
        <v>2.5</v>
      </c>
    </row>
    <row r="11" spans="2:13" x14ac:dyDescent="0.3">
      <c r="B11" s="1" t="s">
        <v>46</v>
      </c>
      <c r="C11" s="1">
        <f>SUM(C5:C10)</f>
        <v>152100186</v>
      </c>
      <c r="D11" s="1">
        <f>SUM(D5:D10)</f>
        <v>142916569</v>
      </c>
      <c r="E11" s="1">
        <f t="shared" si="0"/>
        <v>295016755</v>
      </c>
      <c r="G11" t="s">
        <v>42</v>
      </c>
      <c r="H11">
        <v>4280917</v>
      </c>
      <c r="I11">
        <v>3969935</v>
      </c>
      <c r="J11">
        <v>8250852</v>
      </c>
      <c r="K11" s="1"/>
      <c r="L11" s="1"/>
    </row>
    <row r="12" spans="2:13" x14ac:dyDescent="0.3">
      <c r="G12" t="s">
        <v>43</v>
      </c>
      <c r="H12">
        <v>9270946</v>
      </c>
      <c r="I12">
        <v>8637373</v>
      </c>
      <c r="J12">
        <v>17908319</v>
      </c>
      <c r="K12" s="1"/>
      <c r="L12" s="1"/>
    </row>
    <row r="13" spans="2:13" x14ac:dyDescent="0.3">
      <c r="G13" t="s">
        <v>40</v>
      </c>
      <c r="H13">
        <v>27541445</v>
      </c>
      <c r="I13">
        <v>26998878</v>
      </c>
      <c r="J13">
        <v>54540323</v>
      </c>
      <c r="K13" s="1"/>
      <c r="L13" s="1"/>
    </row>
    <row r="14" spans="2:13" x14ac:dyDescent="0.3">
      <c r="G14" t="s">
        <v>45</v>
      </c>
      <c r="H14">
        <v>32929570</v>
      </c>
      <c r="I14">
        <v>29958509</v>
      </c>
      <c r="J14">
        <v>62888079</v>
      </c>
      <c r="K14" s="1"/>
      <c r="L14" s="1"/>
    </row>
    <row r="15" spans="2:13" x14ac:dyDescent="0.3">
      <c r="B15" s="4"/>
      <c r="G15" t="s">
        <v>44</v>
      </c>
      <c r="H15">
        <v>31641265</v>
      </c>
      <c r="I15">
        <v>30410379</v>
      </c>
      <c r="J15">
        <v>62051644</v>
      </c>
      <c r="K15" s="1"/>
      <c r="L15" s="1"/>
    </row>
    <row r="16" spans="2:13" x14ac:dyDescent="0.3">
      <c r="G16" t="s">
        <v>41</v>
      </c>
      <c r="H16">
        <v>46436043</v>
      </c>
      <c r="I16">
        <v>42941495</v>
      </c>
      <c r="J16">
        <v>89377538</v>
      </c>
      <c r="K16" s="1"/>
      <c r="L16" s="1"/>
    </row>
    <row r="17" spans="2:12" x14ac:dyDescent="0.3">
      <c r="B17" s="1"/>
      <c r="C17" s="1"/>
      <c r="D17" s="1"/>
      <c r="E17" s="1"/>
      <c r="G17" t="s">
        <v>46</v>
      </c>
      <c r="H17">
        <v>152100186</v>
      </c>
      <c r="I17">
        <v>142916569</v>
      </c>
      <c r="J17">
        <v>295016755</v>
      </c>
      <c r="K17" s="1"/>
      <c r="L17" s="1"/>
    </row>
    <row r="18" spans="2:12" x14ac:dyDescent="0.3">
      <c r="B18" s="1"/>
      <c r="C18" s="1"/>
      <c r="D18" s="1"/>
      <c r="E18" s="1"/>
      <c r="K18" s="1"/>
      <c r="L18" s="1"/>
    </row>
    <row r="19" spans="2:12" x14ac:dyDescent="0.3">
      <c r="B19" s="1"/>
      <c r="C19" s="1"/>
      <c r="D19" s="1"/>
      <c r="E19" s="1"/>
      <c r="K19" s="1"/>
      <c r="L19" s="1"/>
    </row>
    <row r="20" spans="2:12" x14ac:dyDescent="0.3">
      <c r="B20" s="1"/>
      <c r="C20" s="1"/>
      <c r="D20" s="1"/>
      <c r="E20" s="1"/>
      <c r="K20" s="1"/>
      <c r="L20" s="1"/>
    </row>
    <row r="21" spans="2:12" x14ac:dyDescent="0.3">
      <c r="B21" s="1"/>
      <c r="C21" s="1"/>
      <c r="D21" s="1"/>
      <c r="E21" s="1"/>
    </row>
    <row r="22" spans="2:12" x14ac:dyDescent="0.3">
      <c r="B22" s="1"/>
      <c r="C22" s="1"/>
      <c r="D22" s="1"/>
      <c r="E22" s="1"/>
    </row>
    <row r="23" spans="2:12" x14ac:dyDescent="0.3">
      <c r="B23" s="1"/>
      <c r="C23" s="1"/>
      <c r="D23" s="1"/>
      <c r="E23" s="1"/>
    </row>
    <row r="24" spans="2:12" x14ac:dyDescent="0.3">
      <c r="B24" s="1"/>
      <c r="C24" s="1"/>
      <c r="D24" s="1"/>
      <c r="E24" s="1"/>
    </row>
    <row r="25" spans="2:12" x14ac:dyDescent="0.3">
      <c r="B25" s="1"/>
      <c r="C25" s="1"/>
      <c r="D25" s="1"/>
      <c r="E25" s="1"/>
    </row>
    <row r="26" spans="2:12" x14ac:dyDescent="0.3">
      <c r="B26" s="1"/>
      <c r="C26" s="1"/>
      <c r="D26" s="1"/>
      <c r="E26" s="1"/>
    </row>
    <row r="27" spans="2:12" x14ac:dyDescent="0.3">
      <c r="B27" s="1"/>
      <c r="C27" s="1"/>
      <c r="D27" s="1"/>
      <c r="E27" s="1"/>
      <c r="H27" s="6" t="s">
        <v>0</v>
      </c>
      <c r="I27" s="6" t="s">
        <v>46</v>
      </c>
    </row>
    <row r="28" spans="2:12" x14ac:dyDescent="0.3">
      <c r="B28" s="1"/>
      <c r="C28" s="1"/>
      <c r="D28" s="1"/>
      <c r="E28" s="1"/>
      <c r="H28" s="1" t="s">
        <v>5</v>
      </c>
      <c r="I28" s="1">
        <f>E38</f>
        <v>23456241</v>
      </c>
    </row>
    <row r="29" spans="2:12" x14ac:dyDescent="0.3">
      <c r="B29" s="1"/>
      <c r="C29" s="1"/>
      <c r="D29" s="1"/>
      <c r="E29" s="1"/>
      <c r="H29" s="1" t="s">
        <v>6</v>
      </c>
      <c r="I29" s="1">
        <f t="shared" ref="I29:I43" si="2">E39</f>
        <v>24373027</v>
      </c>
    </row>
    <row r="30" spans="2:12" x14ac:dyDescent="0.3">
      <c r="B30" s="1"/>
      <c r="C30" s="1"/>
      <c r="D30" s="1"/>
      <c r="E30" s="1"/>
      <c r="H30" s="1" t="s">
        <v>7</v>
      </c>
      <c r="I30" s="1">
        <f t="shared" si="2"/>
        <v>25635098.5</v>
      </c>
    </row>
    <row r="31" spans="2:12" x14ac:dyDescent="0.3">
      <c r="B31" s="1"/>
      <c r="C31" s="1"/>
      <c r="D31" s="1"/>
      <c r="E31" s="1"/>
      <c r="H31" s="1" t="s">
        <v>8</v>
      </c>
      <c r="I31" s="1">
        <f t="shared" si="2"/>
        <v>26876491</v>
      </c>
    </row>
    <row r="32" spans="2:12" x14ac:dyDescent="0.3">
      <c r="B32" s="1"/>
      <c r="C32" s="1"/>
      <c r="D32" s="1"/>
      <c r="E32" s="1"/>
      <c r="H32" s="1" t="s">
        <v>9</v>
      </c>
      <c r="I32" s="1">
        <f t="shared" si="2"/>
        <v>30442587</v>
      </c>
    </row>
    <row r="33" spans="2:9" x14ac:dyDescent="0.3">
      <c r="B33" s="1"/>
      <c r="C33" s="1"/>
      <c r="D33" s="1"/>
      <c r="E33" s="1"/>
      <c r="H33" s="1" t="s">
        <v>10</v>
      </c>
      <c r="I33" s="1">
        <f t="shared" si="2"/>
        <v>29320648.5</v>
      </c>
    </row>
    <row r="34" spans="2:9" x14ac:dyDescent="0.3">
      <c r="B34" s="1"/>
      <c r="C34" s="1"/>
      <c r="D34" s="1"/>
      <c r="E34" s="1"/>
      <c r="H34" s="1" t="s">
        <v>11</v>
      </c>
      <c r="I34" s="1">
        <f t="shared" si="2"/>
        <v>25468697</v>
      </c>
    </row>
    <row r="35" spans="2:9" x14ac:dyDescent="0.3">
      <c r="H35" s="1" t="s">
        <v>12</v>
      </c>
      <c r="I35" s="1">
        <f t="shared" si="2"/>
        <v>23097636</v>
      </c>
    </row>
    <row r="36" spans="2:9" x14ac:dyDescent="0.3">
      <c r="H36" s="1" t="s">
        <v>13</v>
      </c>
      <c r="I36" s="1">
        <f t="shared" si="2"/>
        <v>19860908</v>
      </c>
    </row>
    <row r="37" spans="2:9" x14ac:dyDescent="0.3">
      <c r="B37" s="1" t="s">
        <v>0</v>
      </c>
      <c r="C37" s="1" t="s">
        <v>34</v>
      </c>
      <c r="D37" s="1" t="s">
        <v>35</v>
      </c>
      <c r="E37" s="1" t="s">
        <v>46</v>
      </c>
      <c r="H37" s="1" t="s">
        <v>14</v>
      </c>
      <c r="I37" s="1">
        <f t="shared" si="2"/>
        <v>17065502.5</v>
      </c>
    </row>
    <row r="38" spans="2:9" x14ac:dyDescent="0.3">
      <c r="B38" s="1" t="s">
        <v>5</v>
      </c>
      <c r="C38" s="1">
        <v>12265659</v>
      </c>
      <c r="D38" s="1">
        <v>11190582</v>
      </c>
      <c r="E38" s="1">
        <v>23456241</v>
      </c>
      <c r="H38" s="1" t="s">
        <v>15</v>
      </c>
      <c r="I38" s="1">
        <f t="shared" si="2"/>
        <v>13595898</v>
      </c>
    </row>
    <row r="39" spans="2:9" x14ac:dyDescent="0.3">
      <c r="B39" s="1" t="s">
        <v>6</v>
      </c>
      <c r="C39" s="1">
        <v>12750954</v>
      </c>
      <c r="D39" s="1">
        <v>11622073</v>
      </c>
      <c r="E39" s="1">
        <v>24373027</v>
      </c>
      <c r="H39" s="1" t="s">
        <v>16</v>
      </c>
      <c r="I39" s="1">
        <f t="shared" si="2"/>
        <v>10586263.5</v>
      </c>
    </row>
    <row r="40" spans="2:9" x14ac:dyDescent="0.3">
      <c r="B40" s="1" t="s">
        <v>7</v>
      </c>
      <c r="C40" s="1">
        <v>13601982</v>
      </c>
      <c r="D40" s="1">
        <v>12033116.5</v>
      </c>
      <c r="E40" s="1">
        <v>25635098.5</v>
      </c>
      <c r="H40" s="1" t="s">
        <v>17</v>
      </c>
      <c r="I40" s="1">
        <f t="shared" si="2"/>
        <v>8912146</v>
      </c>
    </row>
    <row r="41" spans="2:9" x14ac:dyDescent="0.3">
      <c r="B41" s="1" t="s">
        <v>8</v>
      </c>
      <c r="C41" s="1">
        <v>14110995.5</v>
      </c>
      <c r="D41" s="1">
        <v>12765495.5</v>
      </c>
      <c r="E41" s="1">
        <v>26876491</v>
      </c>
      <c r="H41" s="1" t="s">
        <v>18</v>
      </c>
      <c r="I41" s="1">
        <f t="shared" si="2"/>
        <v>5981238</v>
      </c>
    </row>
    <row r="42" spans="2:9" x14ac:dyDescent="0.3">
      <c r="B42" s="1" t="s">
        <v>9</v>
      </c>
      <c r="C42" s="1">
        <v>15737335</v>
      </c>
      <c r="D42" s="1">
        <v>14705252</v>
      </c>
      <c r="E42" s="1">
        <v>30442587</v>
      </c>
      <c r="H42" s="1" t="s">
        <v>19</v>
      </c>
      <c r="I42" s="1">
        <f t="shared" si="2"/>
        <v>4558818.5</v>
      </c>
    </row>
    <row r="43" spans="2:9" x14ac:dyDescent="0.3">
      <c r="B43" s="1" t="s">
        <v>10</v>
      </c>
      <c r="C43" s="1">
        <v>14879664.5</v>
      </c>
      <c r="D43" s="1">
        <v>14440984</v>
      </c>
      <c r="E43" s="1">
        <v>29320648.5</v>
      </c>
      <c r="H43" s="1" t="s">
        <v>20</v>
      </c>
      <c r="I43" s="1">
        <f t="shared" si="2"/>
        <v>5785554.5</v>
      </c>
    </row>
    <row r="44" spans="2:9" x14ac:dyDescent="0.3">
      <c r="B44" s="1" t="s">
        <v>11</v>
      </c>
      <c r="C44" s="1">
        <v>13024010.5</v>
      </c>
      <c r="D44" s="1">
        <v>12444686.5</v>
      </c>
      <c r="E44" s="1">
        <v>25468697</v>
      </c>
    </row>
    <row r="45" spans="2:9" x14ac:dyDescent="0.3">
      <c r="B45" s="1" t="s">
        <v>12</v>
      </c>
      <c r="C45" s="1">
        <v>11731558</v>
      </c>
      <c r="D45" s="1">
        <v>11366078</v>
      </c>
      <c r="E45" s="1">
        <v>23097636</v>
      </c>
    </row>
    <row r="46" spans="2:9" x14ac:dyDescent="0.3">
      <c r="B46" s="1" t="s">
        <v>13</v>
      </c>
      <c r="C46" s="1">
        <v>10321600</v>
      </c>
      <c r="D46" s="1">
        <v>9539308</v>
      </c>
      <c r="E46" s="1">
        <v>19860908</v>
      </c>
    </row>
    <row r="47" spans="2:9" x14ac:dyDescent="0.3">
      <c r="B47" s="1" t="s">
        <v>14</v>
      </c>
      <c r="C47" s="1">
        <v>8885629</v>
      </c>
      <c r="D47" s="1">
        <v>8179873.5</v>
      </c>
      <c r="E47" s="1">
        <v>17065502.5</v>
      </c>
    </row>
    <row r="48" spans="2:9" x14ac:dyDescent="0.3">
      <c r="B48" s="1" t="s">
        <v>15</v>
      </c>
      <c r="C48" s="1">
        <v>7165991.5</v>
      </c>
      <c r="D48" s="1">
        <v>6429906.5</v>
      </c>
      <c r="E48" s="1">
        <v>13595898</v>
      </c>
    </row>
    <row r="49" spans="2:10" x14ac:dyDescent="0.3">
      <c r="B49" s="1" t="s">
        <v>16</v>
      </c>
      <c r="C49" s="1">
        <v>5518745</v>
      </c>
      <c r="D49" s="1">
        <v>5067518.5</v>
      </c>
      <c r="E49" s="1">
        <v>10586263.5</v>
      </c>
    </row>
    <row r="50" spans="2:10" x14ac:dyDescent="0.3">
      <c r="B50" s="1" t="s">
        <v>17</v>
      </c>
      <c r="C50" s="1">
        <v>4525013</v>
      </c>
      <c r="D50" s="1">
        <v>4387133</v>
      </c>
      <c r="E50" s="1">
        <v>8912146</v>
      </c>
    </row>
    <row r="51" spans="2:10" x14ac:dyDescent="0.3">
      <c r="B51" s="1" t="s">
        <v>18</v>
      </c>
      <c r="C51" s="1">
        <v>3005643.5</v>
      </c>
      <c r="D51" s="1">
        <v>2975594.5</v>
      </c>
      <c r="E51" s="1">
        <v>5981238</v>
      </c>
    </row>
    <row r="52" spans="2:10" x14ac:dyDescent="0.3">
      <c r="B52" s="1" t="s">
        <v>19</v>
      </c>
      <c r="C52" s="1">
        <v>2260183.5</v>
      </c>
      <c r="D52" s="1">
        <v>2298635</v>
      </c>
      <c r="E52" s="1">
        <v>4558818.5</v>
      </c>
    </row>
    <row r="53" spans="2:10" x14ac:dyDescent="0.3">
      <c r="B53" s="1" t="s">
        <v>20</v>
      </c>
      <c r="C53" s="1">
        <v>2315222</v>
      </c>
      <c r="D53" s="1">
        <v>3470332.5</v>
      </c>
      <c r="E53" s="1">
        <v>5785554.5</v>
      </c>
    </row>
    <row r="54" spans="2:10" x14ac:dyDescent="0.3">
      <c r="B54" s="1" t="s">
        <v>24</v>
      </c>
      <c r="C54" s="1">
        <v>152100186</v>
      </c>
      <c r="D54" s="1">
        <v>142916569</v>
      </c>
      <c r="E54" s="1">
        <v>295016755</v>
      </c>
    </row>
    <row r="55" spans="2:10" x14ac:dyDescent="0.3">
      <c r="H55" s="6" t="s">
        <v>50</v>
      </c>
      <c r="I55" s="6" t="s">
        <v>34</v>
      </c>
      <c r="J55" s="6" t="s">
        <v>35</v>
      </c>
    </row>
    <row r="56" spans="2:10" x14ac:dyDescent="0.3">
      <c r="H56" s="1" t="s">
        <v>42</v>
      </c>
      <c r="I56" s="1">
        <v>4280917</v>
      </c>
      <c r="J56" s="1">
        <v>3969935</v>
      </c>
    </row>
    <row r="57" spans="2:10" x14ac:dyDescent="0.3">
      <c r="H57" s="1" t="s">
        <v>43</v>
      </c>
      <c r="I57" s="1">
        <v>9270946</v>
      </c>
      <c r="J57" s="1">
        <v>8637373</v>
      </c>
    </row>
    <row r="58" spans="2:10" x14ac:dyDescent="0.3">
      <c r="H58" s="1" t="s">
        <v>40</v>
      </c>
      <c r="I58" s="1">
        <v>27541445</v>
      </c>
      <c r="J58" s="1">
        <v>26998878</v>
      </c>
    </row>
    <row r="59" spans="2:10" x14ac:dyDescent="0.3">
      <c r="H59" s="1" t="s">
        <v>45</v>
      </c>
      <c r="I59" s="9">
        <v>32929570</v>
      </c>
      <c r="J59" s="1">
        <v>29958509</v>
      </c>
    </row>
    <row r="60" spans="2:10" x14ac:dyDescent="0.3">
      <c r="H60" s="1" t="s">
        <v>44</v>
      </c>
      <c r="I60" s="9">
        <v>31641265</v>
      </c>
      <c r="J60" s="1">
        <v>30410379</v>
      </c>
    </row>
    <row r="61" spans="2:10" x14ac:dyDescent="0.3">
      <c r="H61" s="1" t="s">
        <v>41</v>
      </c>
      <c r="I61" s="1">
        <v>46436043</v>
      </c>
      <c r="J61" s="1">
        <v>42941495</v>
      </c>
    </row>
  </sheetData>
  <sortState xmlns:xlrd2="http://schemas.microsoft.com/office/spreadsheetml/2017/richdata2" ref="B5:E11">
    <sortCondition ref="B11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4479-0C07-4636-8EF4-F3AAA70DD56A}">
  <dimension ref="A1:D21"/>
  <sheetViews>
    <sheetView workbookViewId="0">
      <selection activeCell="B21" sqref="B21"/>
    </sheetView>
  </sheetViews>
  <sheetFormatPr defaultRowHeight="14.4" x14ac:dyDescent="0.3"/>
  <cols>
    <col min="1" max="1" width="9.88671875" bestFit="1" customWidth="1"/>
    <col min="2" max="3" width="11" bestFit="1" customWidth="1"/>
  </cols>
  <sheetData>
    <row r="1" spans="1:4" x14ac:dyDescent="0.3">
      <c r="A1" s="17" t="s">
        <v>0</v>
      </c>
      <c r="B1" s="17" t="s">
        <v>46</v>
      </c>
      <c r="C1" s="18" t="s">
        <v>118</v>
      </c>
      <c r="D1" s="18" t="s">
        <v>119</v>
      </c>
    </row>
    <row r="2" spans="1:4" x14ac:dyDescent="0.3">
      <c r="A2" s="1" t="s">
        <v>5</v>
      </c>
      <c r="B2" s="1">
        <v>23456241</v>
      </c>
      <c r="C2" s="1">
        <f>$B$19/$B$20</f>
        <v>18438547.1875</v>
      </c>
      <c r="D2" s="1">
        <f>(B2-C2)^2/C2</f>
        <v>1365468.2736104685</v>
      </c>
    </row>
    <row r="3" spans="1:4" x14ac:dyDescent="0.3">
      <c r="A3" s="1" t="s">
        <v>6</v>
      </c>
      <c r="B3" s="1">
        <v>24373027</v>
      </c>
      <c r="C3" s="1">
        <f t="shared" ref="C3:C17" si="0">$B$19/$B$20</f>
        <v>18438547.1875</v>
      </c>
      <c r="D3" s="1">
        <f t="shared" ref="D3:D17" si="1">(B3-C3)^2/C3</f>
        <v>1910023.0775690028</v>
      </c>
    </row>
    <row r="4" spans="1:4" x14ac:dyDescent="0.3">
      <c r="A4" s="1" t="s">
        <v>7</v>
      </c>
      <c r="B4" s="1">
        <v>25635098.5</v>
      </c>
      <c r="C4" s="1">
        <f t="shared" si="0"/>
        <v>18438547.1875</v>
      </c>
      <c r="D4" s="1">
        <f t="shared" si="1"/>
        <v>2808808.6478177402</v>
      </c>
    </row>
    <row r="5" spans="1:4" x14ac:dyDescent="0.3">
      <c r="A5" s="1" t="s">
        <v>8</v>
      </c>
      <c r="B5" s="1">
        <v>26876491</v>
      </c>
      <c r="C5" s="1">
        <f t="shared" si="0"/>
        <v>18438547.1875</v>
      </c>
      <c r="D5" s="1">
        <f t="shared" si="1"/>
        <v>3861415.7101908075</v>
      </c>
    </row>
    <row r="6" spans="1:4" x14ac:dyDescent="0.3">
      <c r="A6" s="1" t="s">
        <v>9</v>
      </c>
      <c r="B6" s="1">
        <v>30442587</v>
      </c>
      <c r="C6" s="1">
        <f t="shared" si="0"/>
        <v>18438547.1875</v>
      </c>
      <c r="D6" s="1">
        <f t="shared" si="1"/>
        <v>7814985.1154093286</v>
      </c>
    </row>
    <row r="7" spans="1:4" x14ac:dyDescent="0.3">
      <c r="A7" s="1" t="s">
        <v>10</v>
      </c>
      <c r="B7" s="1">
        <v>29320648.5</v>
      </c>
      <c r="C7" s="1">
        <f t="shared" si="0"/>
        <v>18438547.1875</v>
      </c>
      <c r="D7" s="1">
        <f t="shared" si="1"/>
        <v>6422421.8845069576</v>
      </c>
    </row>
    <row r="8" spans="1:4" x14ac:dyDescent="0.3">
      <c r="A8" s="1" t="s">
        <v>11</v>
      </c>
      <c r="B8" s="1">
        <v>25468697</v>
      </c>
      <c r="C8" s="1">
        <f t="shared" si="0"/>
        <v>18438547.1875</v>
      </c>
      <c r="D8" s="1">
        <f t="shared" si="1"/>
        <v>2680417.5992617793</v>
      </c>
    </row>
    <row r="9" spans="1:4" x14ac:dyDescent="0.3">
      <c r="A9" s="1" t="s">
        <v>12</v>
      </c>
      <c r="B9" s="1">
        <v>23097636</v>
      </c>
      <c r="C9" s="1">
        <f t="shared" si="0"/>
        <v>18438547.1875</v>
      </c>
      <c r="D9" s="1">
        <f t="shared" si="1"/>
        <v>1177267.8368867645</v>
      </c>
    </row>
    <row r="10" spans="1:4" x14ac:dyDescent="0.3">
      <c r="A10" s="1" t="s">
        <v>13</v>
      </c>
      <c r="B10" s="1">
        <v>19860908</v>
      </c>
      <c r="C10" s="1">
        <f t="shared" si="0"/>
        <v>18438547.1875</v>
      </c>
      <c r="D10" s="1">
        <f t="shared" si="1"/>
        <v>109721.7834118288</v>
      </c>
    </row>
    <row r="11" spans="1:4" x14ac:dyDescent="0.3">
      <c r="A11" s="1" t="s">
        <v>14</v>
      </c>
      <c r="B11" s="1">
        <v>17065502.5</v>
      </c>
      <c r="C11" s="1">
        <f t="shared" si="0"/>
        <v>18438547.1875</v>
      </c>
      <c r="D11" s="1">
        <f t="shared" si="1"/>
        <v>102245.13323642097</v>
      </c>
    </row>
    <row r="12" spans="1:4" x14ac:dyDescent="0.3">
      <c r="A12" s="1" t="s">
        <v>15</v>
      </c>
      <c r="B12" s="1">
        <v>13595898</v>
      </c>
      <c r="C12" s="1">
        <f t="shared" si="0"/>
        <v>18438547.1875</v>
      </c>
      <c r="D12" s="1">
        <f t="shared" si="1"/>
        <v>1271860.0285977335</v>
      </c>
    </row>
    <row r="13" spans="1:4" x14ac:dyDescent="0.3">
      <c r="A13" s="1" t="s">
        <v>16</v>
      </c>
      <c r="B13" s="1">
        <v>10586263.5</v>
      </c>
      <c r="C13" s="1">
        <f t="shared" si="0"/>
        <v>18438547.1875</v>
      </c>
      <c r="D13" s="1">
        <f t="shared" si="1"/>
        <v>3343992.2615366625</v>
      </c>
    </row>
    <row r="14" spans="1:4" x14ac:dyDescent="0.3">
      <c r="A14" s="1" t="s">
        <v>17</v>
      </c>
      <c r="B14" s="1">
        <v>8912146</v>
      </c>
      <c r="C14" s="1">
        <f t="shared" si="0"/>
        <v>18438547.1875</v>
      </c>
      <c r="D14" s="1">
        <f t="shared" si="1"/>
        <v>4921880.1602072483</v>
      </c>
    </row>
    <row r="15" spans="1:4" x14ac:dyDescent="0.3">
      <c r="A15" s="1" t="s">
        <v>18</v>
      </c>
      <c r="B15" s="1">
        <v>5981238</v>
      </c>
      <c r="C15" s="1">
        <f t="shared" si="0"/>
        <v>18438547.1875</v>
      </c>
      <c r="D15" s="1">
        <f t="shared" si="1"/>
        <v>8416311.2535338905</v>
      </c>
    </row>
    <row r="16" spans="1:4" x14ac:dyDescent="0.3">
      <c r="A16" s="1" t="s">
        <v>19</v>
      </c>
      <c r="B16" s="1">
        <v>4558818.5</v>
      </c>
      <c r="C16" s="1">
        <f t="shared" si="0"/>
        <v>18438547.1875</v>
      </c>
      <c r="D16" s="1">
        <f t="shared" si="1"/>
        <v>10448050.298084823</v>
      </c>
    </row>
    <row r="17" spans="1:4" x14ac:dyDescent="0.3">
      <c r="A17" s="1" t="s">
        <v>20</v>
      </c>
      <c r="B17" s="1">
        <v>5785554.5</v>
      </c>
      <c r="C17" s="1">
        <f t="shared" si="0"/>
        <v>18438547.1875</v>
      </c>
      <c r="D17" s="1">
        <f t="shared" si="1"/>
        <v>8682800.3487424143</v>
      </c>
    </row>
    <row r="19" spans="1:4" x14ac:dyDescent="0.3">
      <c r="A19" t="s">
        <v>81</v>
      </c>
      <c r="B19">
        <f>SUM(B2:B17)</f>
        <v>295016755</v>
      </c>
      <c r="D19">
        <f>SUM(D2:D17)</f>
        <v>65337669.41260387</v>
      </c>
    </row>
    <row r="20" spans="1:4" x14ac:dyDescent="0.3">
      <c r="A20" t="s">
        <v>150</v>
      </c>
      <c r="B20">
        <f>COUNT(B2:B17)</f>
        <v>16</v>
      </c>
    </row>
    <row r="21" spans="1:4" x14ac:dyDescent="0.3">
      <c r="A21" t="s">
        <v>151</v>
      </c>
      <c r="B21">
        <f>SUM(D2:D17)</f>
        <v>65337669.41260387</v>
      </c>
      <c r="D21">
        <f>_xlfn.CHISQ.TEST(B2:B17,C2:C17)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DC3-DDDA-41C6-AE87-ACD3BA2F3F91}">
  <dimension ref="A1:G20"/>
  <sheetViews>
    <sheetView workbookViewId="0">
      <selection activeCell="D5" sqref="D5"/>
    </sheetView>
  </sheetViews>
  <sheetFormatPr defaultRowHeight="14.4" x14ac:dyDescent="0.3"/>
  <cols>
    <col min="1" max="1" width="14.21875" bestFit="1" customWidth="1"/>
    <col min="2" max="3" width="12" bestFit="1" customWidth="1"/>
    <col min="4" max="4" width="11" bestFit="1" customWidth="1"/>
  </cols>
  <sheetData>
    <row r="1" spans="1:7" x14ac:dyDescent="0.3">
      <c r="A1" t="s">
        <v>123</v>
      </c>
    </row>
    <row r="2" spans="1:7" x14ac:dyDescent="0.3">
      <c r="A2" t="s">
        <v>124</v>
      </c>
    </row>
    <row r="4" spans="1:7" x14ac:dyDescent="0.3">
      <c r="A4" s="1" t="s">
        <v>50</v>
      </c>
      <c r="B4" s="1" t="s">
        <v>46</v>
      </c>
      <c r="C4" s="1" t="s">
        <v>118</v>
      </c>
      <c r="D4" s="1" t="s">
        <v>119</v>
      </c>
      <c r="G4">
        <v>26</v>
      </c>
    </row>
    <row r="5" spans="1:7" x14ac:dyDescent="0.3">
      <c r="A5" s="1" t="s">
        <v>42</v>
      </c>
      <c r="B5" s="1">
        <v>41254260</v>
      </c>
      <c r="C5" s="1">
        <f>$B$12/$B$13</f>
        <v>111569937.86111112</v>
      </c>
      <c r="D5" s="1">
        <f>(B5-C5)^2/C5</f>
        <v>44315652.117889531</v>
      </c>
      <c r="G5">
        <v>22</v>
      </c>
    </row>
    <row r="6" spans="1:7" x14ac:dyDescent="0.3">
      <c r="A6" s="1" t="s">
        <v>43</v>
      </c>
      <c r="B6" s="1">
        <v>89541595</v>
      </c>
      <c r="C6" s="1">
        <f t="shared" ref="C6:C10" si="0">$B$12/$B$13</f>
        <v>111569937.86111112</v>
      </c>
      <c r="D6" s="1">
        <f t="shared" ref="D6:D10" si="1">(B6-C6)^2/C6</f>
        <v>4349270.9461820312</v>
      </c>
      <c r="G6">
        <v>62</v>
      </c>
    </row>
    <row r="7" spans="1:7" x14ac:dyDescent="0.3">
      <c r="A7" s="1" t="s">
        <v>40</v>
      </c>
      <c r="B7" s="1">
        <v>54540323</v>
      </c>
      <c r="C7" s="1">
        <f t="shared" si="0"/>
        <v>111569937.86111112</v>
      </c>
      <c r="D7" s="1">
        <f t="shared" si="1"/>
        <v>29151015.35016913</v>
      </c>
      <c r="G7">
        <v>22</v>
      </c>
    </row>
    <row r="8" spans="1:7" x14ac:dyDescent="0.3">
      <c r="A8" s="1" t="s">
        <v>45</v>
      </c>
      <c r="B8" s="1">
        <v>157220197.5</v>
      </c>
      <c r="C8" s="1">
        <f t="shared" si="0"/>
        <v>111569937.86111112</v>
      </c>
      <c r="D8" s="1">
        <f t="shared" si="1"/>
        <v>18678384.563520931</v>
      </c>
      <c r="G8">
        <f>SUM(G4:G7)</f>
        <v>132</v>
      </c>
    </row>
    <row r="9" spans="1:7" x14ac:dyDescent="0.3">
      <c r="A9" s="1" t="s">
        <v>44</v>
      </c>
      <c r="B9" s="1">
        <v>103419406.66666667</v>
      </c>
      <c r="C9" s="1">
        <f t="shared" si="0"/>
        <v>111569937.86111112</v>
      </c>
      <c r="D9" s="1">
        <f t="shared" si="1"/>
        <v>595421.6702559205</v>
      </c>
      <c r="G9">
        <f>G8/4</f>
        <v>33</v>
      </c>
    </row>
    <row r="10" spans="1:7" x14ac:dyDescent="0.3">
      <c r="A10" s="1" t="s">
        <v>41</v>
      </c>
      <c r="B10" s="1">
        <v>223443845</v>
      </c>
      <c r="C10" s="1">
        <f t="shared" si="0"/>
        <v>111569937.86111112</v>
      </c>
      <c r="D10" s="1">
        <f t="shared" si="1"/>
        <v>112178704.57274169</v>
      </c>
    </row>
    <row r="12" spans="1:7" x14ac:dyDescent="0.3">
      <c r="A12" t="s">
        <v>116</v>
      </c>
      <c r="B12">
        <f>SUM(B5:B10)</f>
        <v>669419627.16666675</v>
      </c>
    </row>
    <row r="13" spans="1:7" x14ac:dyDescent="0.3">
      <c r="A13" t="s">
        <v>117</v>
      </c>
      <c r="B13">
        <f>COUNTA(A5:A10)</f>
        <v>6</v>
      </c>
      <c r="G13" t="s">
        <v>145</v>
      </c>
    </row>
    <row r="14" spans="1:7" x14ac:dyDescent="0.3">
      <c r="A14" t="s">
        <v>120</v>
      </c>
      <c r="B14">
        <f>SUM(D5:D10)</f>
        <v>209268449.22075921</v>
      </c>
      <c r="C14">
        <f>_xlfn.CHISQ.TEST(B5:B10,C5:C10)</f>
        <v>0</v>
      </c>
    </row>
    <row r="15" spans="1:7" x14ac:dyDescent="0.3">
      <c r="A15" t="s">
        <v>121</v>
      </c>
      <c r="B15">
        <f>B13-1</f>
        <v>5</v>
      </c>
    </row>
    <row r="19" spans="1:2" x14ac:dyDescent="0.3">
      <c r="A19" t="s">
        <v>122</v>
      </c>
      <c r="B19">
        <f>_xlfn.CHISQ.TEST(B5:B10,C5:C10)</f>
        <v>0</v>
      </c>
    </row>
    <row r="20" spans="1:2" x14ac:dyDescent="0.3">
      <c r="B20">
        <f>_xlfn.CHISQ.DIST.RT(B14,B15)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7088-01A1-4413-88DB-C5A3FC19BE34}">
  <dimension ref="A1:K71"/>
  <sheetViews>
    <sheetView zoomScale="72" workbookViewId="0">
      <selection sqref="A1:C7"/>
    </sheetView>
  </sheetViews>
  <sheetFormatPr defaultRowHeight="14.4" x14ac:dyDescent="0.3"/>
  <cols>
    <col min="1" max="1" width="33.21875" bestFit="1" customWidth="1"/>
    <col min="2" max="2" width="24.44140625" bestFit="1" customWidth="1"/>
    <col min="3" max="4" width="20.21875" bestFit="1" customWidth="1"/>
    <col min="5" max="5" width="11.6640625" bestFit="1" customWidth="1"/>
    <col min="6" max="6" width="24.109375" bestFit="1" customWidth="1"/>
    <col min="7" max="7" width="23.5546875" bestFit="1" customWidth="1"/>
    <col min="9" max="9" width="11" bestFit="1" customWidth="1"/>
    <col min="10" max="10" width="17.88671875" bestFit="1" customWidth="1"/>
    <col min="11" max="11" width="29.5546875" bestFit="1" customWidth="1"/>
  </cols>
  <sheetData>
    <row r="1" spans="1:10" x14ac:dyDescent="0.3">
      <c r="A1" s="1" t="s">
        <v>50</v>
      </c>
      <c r="B1" s="1" t="s">
        <v>84</v>
      </c>
      <c r="C1" s="1" t="s">
        <v>85</v>
      </c>
      <c r="D1" s="12" t="s">
        <v>86</v>
      </c>
      <c r="E1" s="12" t="s">
        <v>87</v>
      </c>
      <c r="F1" s="12" t="s">
        <v>88</v>
      </c>
      <c r="G1" s="12" t="s">
        <v>91</v>
      </c>
    </row>
    <row r="2" spans="1:10" x14ac:dyDescent="0.3">
      <c r="A2" s="1" t="s">
        <v>42</v>
      </c>
      <c r="B2" s="1">
        <v>4280917</v>
      </c>
      <c r="C2" s="1">
        <v>3969935</v>
      </c>
      <c r="D2">
        <f>B2-$B$11</f>
        <v>-21069114</v>
      </c>
      <c r="E2">
        <f>C2-$C$11</f>
        <v>-19849493.166666668</v>
      </c>
      <c r="F2" s="16">
        <f>D2*E2</f>
        <v>418211234370721</v>
      </c>
      <c r="G2" s="15">
        <f>D2^2</f>
        <v>443907564744996</v>
      </c>
    </row>
    <row r="3" spans="1:10" x14ac:dyDescent="0.3">
      <c r="A3" s="1" t="s">
        <v>43</v>
      </c>
      <c r="B3" s="1">
        <v>9270946</v>
      </c>
      <c r="C3" s="1">
        <v>8637373</v>
      </c>
      <c r="D3">
        <f t="shared" ref="D3:D7" si="0">B3-$B$11</f>
        <v>-16079085</v>
      </c>
      <c r="E3">
        <f t="shared" ref="E3:E7" si="1">C3-$C$11</f>
        <v>-15182055.166666668</v>
      </c>
      <c r="F3" s="15">
        <f t="shared" ref="F3:F7" si="2">D3*E3</f>
        <v>244113555499522.53</v>
      </c>
      <c r="G3" s="15">
        <f t="shared" ref="G3:G7" si="3">D3^2</f>
        <v>258536974437225</v>
      </c>
    </row>
    <row r="4" spans="1:10" x14ac:dyDescent="0.3">
      <c r="A4" s="1" t="s">
        <v>40</v>
      </c>
      <c r="B4" s="1">
        <v>27541445</v>
      </c>
      <c r="C4" s="1">
        <v>26998878</v>
      </c>
      <c r="D4">
        <f t="shared" si="0"/>
        <v>2191414</v>
      </c>
      <c r="E4">
        <f t="shared" si="1"/>
        <v>3179449.8333333321</v>
      </c>
      <c r="F4" s="15">
        <f t="shared" si="2"/>
        <v>6967490877064.3311</v>
      </c>
      <c r="G4" s="15">
        <f t="shared" si="3"/>
        <v>4802295319396</v>
      </c>
    </row>
    <row r="5" spans="1:10" x14ac:dyDescent="0.3">
      <c r="A5" s="1" t="s">
        <v>45</v>
      </c>
      <c r="B5" s="1">
        <v>32929570</v>
      </c>
      <c r="C5" s="1">
        <v>29958509</v>
      </c>
      <c r="D5">
        <f t="shared" si="0"/>
        <v>7579539</v>
      </c>
      <c r="E5">
        <f t="shared" si="1"/>
        <v>6139080.8333333321</v>
      </c>
      <c r="F5" s="15">
        <f t="shared" si="2"/>
        <v>46531402600402.492</v>
      </c>
      <c r="G5" s="15">
        <f t="shared" si="3"/>
        <v>57449411452521</v>
      </c>
    </row>
    <row r="6" spans="1:10" x14ac:dyDescent="0.3">
      <c r="A6" s="1" t="s">
        <v>44</v>
      </c>
      <c r="B6" s="1">
        <v>31641265</v>
      </c>
      <c r="C6" s="1">
        <v>30410379</v>
      </c>
      <c r="D6">
        <f t="shared" si="0"/>
        <v>6291234</v>
      </c>
      <c r="E6">
        <f t="shared" si="1"/>
        <v>6590950.8333333321</v>
      </c>
      <c r="F6" s="15">
        <f t="shared" si="2"/>
        <v>41465213974994.992</v>
      </c>
      <c r="G6" s="15">
        <f t="shared" si="3"/>
        <v>39579625242756</v>
      </c>
    </row>
    <row r="7" spans="1:10" x14ac:dyDescent="0.3">
      <c r="A7" s="1" t="s">
        <v>41</v>
      </c>
      <c r="B7" s="1">
        <v>46436043</v>
      </c>
      <c r="C7" s="1">
        <v>42941495</v>
      </c>
      <c r="D7">
        <f t="shared" si="0"/>
        <v>21086012</v>
      </c>
      <c r="E7">
        <f t="shared" si="1"/>
        <v>19122066.833333332</v>
      </c>
      <c r="F7" s="15">
        <f t="shared" si="2"/>
        <v>403208130712468.63</v>
      </c>
      <c r="G7" s="15">
        <f t="shared" si="3"/>
        <v>444619902064144</v>
      </c>
    </row>
    <row r="9" spans="1:10" x14ac:dyDescent="0.3">
      <c r="A9" t="s">
        <v>82</v>
      </c>
      <c r="B9">
        <f>COUNT(B2:B7)</f>
        <v>6</v>
      </c>
      <c r="C9">
        <f>COUNT(C2:C7)</f>
        <v>6</v>
      </c>
    </row>
    <row r="10" spans="1:10" x14ac:dyDescent="0.3">
      <c r="A10" t="s">
        <v>81</v>
      </c>
      <c r="B10">
        <f>SUM(B2:B7)</f>
        <v>152100186</v>
      </c>
      <c r="C10">
        <f>SUM(C2:C7)</f>
        <v>142916569</v>
      </c>
      <c r="D10">
        <f t="shared" ref="D10:G10" si="4">SUM(D2:D7)</f>
        <v>0</v>
      </c>
      <c r="E10">
        <f t="shared" si="4"/>
        <v>0</v>
      </c>
      <c r="F10">
        <f t="shared" si="4"/>
        <v>1160497028035174</v>
      </c>
      <c r="G10" s="15">
        <f t="shared" si="4"/>
        <v>1248895773261038</v>
      </c>
    </row>
    <row r="11" spans="1:10" x14ac:dyDescent="0.3">
      <c r="A11" t="s">
        <v>70</v>
      </c>
      <c r="B11">
        <f>AVERAGE(B2:B7)</f>
        <v>25350031</v>
      </c>
      <c r="C11">
        <f>AVERAGE(C2:C7)</f>
        <v>23819428.166666668</v>
      </c>
      <c r="J11">
        <f>CORREL(B2:B7,C2:C7)</f>
        <v>0.99859656588638579</v>
      </c>
    </row>
    <row r="12" spans="1:10" x14ac:dyDescent="0.3">
      <c r="A12" t="s">
        <v>83</v>
      </c>
      <c r="B12">
        <f>B10/B9</f>
        <v>25350031</v>
      </c>
      <c r="C12">
        <f>C10/C9</f>
        <v>23819428.166666668</v>
      </c>
    </row>
    <row r="14" spans="1:10" x14ac:dyDescent="0.3">
      <c r="A14" t="s">
        <v>89</v>
      </c>
      <c r="B14" s="15">
        <f>F10/C9</f>
        <v>193416171339195.66</v>
      </c>
      <c r="C14" s="15">
        <f>_xlfn.COVARIANCE.S(B2:B7,C2:C7)</f>
        <v>232099405607034.81</v>
      </c>
    </row>
    <row r="15" spans="1:10" x14ac:dyDescent="0.3">
      <c r="A15" t="s">
        <v>90</v>
      </c>
      <c r="B15">
        <f>_xlfn.COVARIANCE.P(B2:B7,C2:C7)</f>
        <v>193416171339195.66</v>
      </c>
    </row>
    <row r="17" spans="1:4" x14ac:dyDescent="0.3">
      <c r="A17" t="s">
        <v>71</v>
      </c>
      <c r="B17" s="15">
        <f>G10/B9</f>
        <v>208149295543506.34</v>
      </c>
    </row>
    <row r="18" spans="1:4" x14ac:dyDescent="0.3">
      <c r="A18" t="s">
        <v>92</v>
      </c>
      <c r="B18">
        <f>_xlfn.VAR.P(B2:B7)</f>
        <v>208149295543506.34</v>
      </c>
      <c r="C18" s="15">
        <f>_xlfn.VAR.P(C2:C7)</f>
        <v>180231410940670.88</v>
      </c>
      <c r="D18" s="15">
        <f>_xlfn.VAR.S(B2:B7)</f>
        <v>249779154652207.59</v>
      </c>
    </row>
    <row r="20" spans="1:4" x14ac:dyDescent="0.3">
      <c r="A20" t="s">
        <v>93</v>
      </c>
    </row>
    <row r="22" spans="1:4" x14ac:dyDescent="0.3">
      <c r="A22" t="s">
        <v>94</v>
      </c>
      <c r="B22">
        <f>B14/B17</f>
        <v>0.92921847673882119</v>
      </c>
    </row>
    <row r="24" spans="1:4" x14ac:dyDescent="0.3">
      <c r="A24" t="s">
        <v>95</v>
      </c>
      <c r="B24">
        <f>C11-B22*B11</f>
        <v>263710.9755647704</v>
      </c>
    </row>
    <row r="25" spans="1:4" x14ac:dyDescent="0.3">
      <c r="A25" t="s">
        <v>93</v>
      </c>
      <c r="B25" t="s">
        <v>96</v>
      </c>
    </row>
    <row r="26" spans="1:4" ht="15" thickBot="1" x14ac:dyDescent="0.35"/>
    <row r="27" spans="1:4" x14ac:dyDescent="0.3">
      <c r="B27" s="13" t="s">
        <v>97</v>
      </c>
      <c r="C27" s="13"/>
    </row>
    <row r="28" spans="1:4" x14ac:dyDescent="0.3">
      <c r="B28" t="s">
        <v>98</v>
      </c>
      <c r="C28">
        <v>0.99859656588638579</v>
      </c>
    </row>
    <row r="29" spans="1:4" x14ac:dyDescent="0.3">
      <c r="B29" t="s">
        <v>99</v>
      </c>
      <c r="C29">
        <v>0.99719510140008294</v>
      </c>
    </row>
    <row r="30" spans="1:4" x14ac:dyDescent="0.3">
      <c r="B30" t="s">
        <v>100</v>
      </c>
      <c r="C30">
        <v>0.9964938767501037</v>
      </c>
    </row>
    <row r="31" spans="1:4" x14ac:dyDescent="0.3">
      <c r="B31" t="s">
        <v>101</v>
      </c>
      <c r="C31">
        <v>870802.07183540496</v>
      </c>
    </row>
    <row r="32" spans="1:4" ht="15" thickBot="1" x14ac:dyDescent="0.35">
      <c r="B32" s="10" t="s">
        <v>72</v>
      </c>
      <c r="C32" s="10">
        <v>6</v>
      </c>
    </row>
    <row r="34" spans="1:10" ht="15" thickBot="1" x14ac:dyDescent="0.35">
      <c r="B34" t="s">
        <v>102</v>
      </c>
    </row>
    <row r="35" spans="1:10" x14ac:dyDescent="0.3">
      <c r="B35" s="11"/>
      <c r="C35" s="11" t="s">
        <v>75</v>
      </c>
      <c r="D35" s="11" t="s">
        <v>105</v>
      </c>
      <c r="E35" s="11" t="s">
        <v>106</v>
      </c>
      <c r="F35" s="11" t="s">
        <v>107</v>
      </c>
      <c r="G35" s="11" t="s">
        <v>108</v>
      </c>
    </row>
    <row r="36" spans="1:10" x14ac:dyDescent="0.3">
      <c r="B36" t="s">
        <v>93</v>
      </c>
      <c r="C36">
        <v>1</v>
      </c>
      <c r="D36">
        <v>1078355280650773.4</v>
      </c>
      <c r="E36">
        <v>1078355280650773.4</v>
      </c>
      <c r="F36">
        <v>1422.0765077633614</v>
      </c>
      <c r="G36">
        <v>2.9530588458039798E-6</v>
      </c>
    </row>
    <row r="37" spans="1:10" x14ac:dyDescent="0.3">
      <c r="B37" t="s">
        <v>103</v>
      </c>
      <c r="C37">
        <v>4</v>
      </c>
      <c r="D37">
        <v>3033184993251.335</v>
      </c>
      <c r="E37">
        <v>758296248312.83374</v>
      </c>
    </row>
    <row r="38" spans="1:10" ht="15" thickBot="1" x14ac:dyDescent="0.35">
      <c r="B38" s="10" t="s">
        <v>46</v>
      </c>
      <c r="C38" s="10">
        <v>5</v>
      </c>
      <c r="D38" s="10">
        <v>1081388465644024.8</v>
      </c>
      <c r="E38" s="10"/>
      <c r="F38" s="10"/>
      <c r="G38" s="10"/>
    </row>
    <row r="40" spans="1:10" x14ac:dyDescent="0.3">
      <c r="C40" t="s">
        <v>109</v>
      </c>
      <c r="D40" t="s">
        <v>101</v>
      </c>
      <c r="E40" t="s">
        <v>76</v>
      </c>
      <c r="F40" t="s">
        <v>110</v>
      </c>
      <c r="G40" t="s">
        <v>111</v>
      </c>
      <c r="H40" t="s">
        <v>112</v>
      </c>
      <c r="I40" t="s">
        <v>113</v>
      </c>
      <c r="J40" t="s">
        <v>114</v>
      </c>
    </row>
    <row r="41" spans="1:10" x14ac:dyDescent="0.3">
      <c r="B41" t="s">
        <v>104</v>
      </c>
      <c r="C41">
        <v>263710.9755647704</v>
      </c>
      <c r="D41">
        <v>718725.90578602545</v>
      </c>
      <c r="E41">
        <v>0.36691452672262626</v>
      </c>
      <c r="F41">
        <v>0.73226902039260078</v>
      </c>
      <c r="G41">
        <v>-1731792.0475336905</v>
      </c>
      <c r="H41">
        <v>2259213.9986632313</v>
      </c>
      <c r="I41">
        <v>-1731792.0475336905</v>
      </c>
      <c r="J41">
        <v>2259213.9986632313</v>
      </c>
    </row>
    <row r="42" spans="1:10" x14ac:dyDescent="0.3">
      <c r="B42" t="s">
        <v>115</v>
      </c>
      <c r="C42">
        <v>0.9292184767388213</v>
      </c>
      <c r="D42">
        <v>2.4640888058296614E-2</v>
      </c>
      <c r="E42">
        <v>37.710429694759007</v>
      </c>
      <c r="F42">
        <v>2.9530588458039798E-6</v>
      </c>
      <c r="G42">
        <v>0.86080440370163691</v>
      </c>
      <c r="H42">
        <v>0.99763254977600568</v>
      </c>
      <c r="I42">
        <v>0.86080440370163691</v>
      </c>
      <c r="J42">
        <v>0.99763254977600568</v>
      </c>
    </row>
    <row r="46" spans="1:10" x14ac:dyDescent="0.3">
      <c r="A46" t="s">
        <v>146</v>
      </c>
    </row>
    <row r="47" spans="1:10" x14ac:dyDescent="0.3">
      <c r="A47" t="s">
        <v>147</v>
      </c>
    </row>
    <row r="50" spans="1:11" x14ac:dyDescent="0.3">
      <c r="A50" s="20" t="s">
        <v>125</v>
      </c>
      <c r="B50" s="21"/>
      <c r="C50" s="21"/>
      <c r="D50" s="22"/>
    </row>
    <row r="51" spans="1:11" x14ac:dyDescent="0.3">
      <c r="A51" s="1" t="s">
        <v>50</v>
      </c>
      <c r="B51" s="1" t="s">
        <v>84</v>
      </c>
      <c r="C51" s="1" t="s">
        <v>85</v>
      </c>
      <c r="D51" s="1"/>
      <c r="G51" s="23" t="s">
        <v>127</v>
      </c>
      <c r="H51" s="20" t="s">
        <v>128</v>
      </c>
      <c r="I51" s="22"/>
      <c r="J51" s="23" t="s">
        <v>148</v>
      </c>
      <c r="K51" s="23" t="s">
        <v>149</v>
      </c>
    </row>
    <row r="52" spans="1:11" x14ac:dyDescent="0.3">
      <c r="A52" s="1" t="s">
        <v>42</v>
      </c>
      <c r="B52" s="1">
        <v>4280917</v>
      </c>
      <c r="C52" s="1">
        <v>3969935</v>
      </c>
      <c r="D52" s="1">
        <f>SUM(B52:C52)</f>
        <v>8250852</v>
      </c>
      <c r="G52" s="24"/>
      <c r="H52" s="1" t="s">
        <v>129</v>
      </c>
      <c r="I52" s="1" t="s">
        <v>118</v>
      </c>
      <c r="J52" s="24"/>
      <c r="K52" s="24"/>
    </row>
    <row r="53" spans="1:11" x14ac:dyDescent="0.3">
      <c r="A53" s="1" t="s">
        <v>43</v>
      </c>
      <c r="B53" s="1">
        <v>9270946</v>
      </c>
      <c r="C53" s="1">
        <v>8637373</v>
      </c>
      <c r="D53" s="1">
        <f t="shared" ref="D53:D58" si="5">SUM(B53:C53)</f>
        <v>17908319</v>
      </c>
      <c r="G53" s="14" t="s">
        <v>130</v>
      </c>
      <c r="H53" s="14">
        <f>B52</f>
        <v>4280917</v>
      </c>
      <c r="I53" s="14">
        <f>B65</f>
        <v>4253846.9513654299</v>
      </c>
      <c r="J53" s="14">
        <f>H53-I53</f>
        <v>27070.048634570092</v>
      </c>
      <c r="K53" s="14">
        <f>(J53^2)/I53</f>
        <v>172.26466806540247</v>
      </c>
    </row>
    <row r="54" spans="1:11" x14ac:dyDescent="0.3">
      <c r="A54" s="1" t="s">
        <v>40</v>
      </c>
      <c r="B54" s="1">
        <v>27541445</v>
      </c>
      <c r="C54" s="1">
        <v>26998878</v>
      </c>
      <c r="D54" s="1">
        <f t="shared" si="5"/>
        <v>54540323</v>
      </c>
      <c r="G54" s="14" t="s">
        <v>131</v>
      </c>
      <c r="H54" s="14">
        <f>C52</f>
        <v>3969935</v>
      </c>
      <c r="I54" s="14">
        <f>C65</f>
        <v>3997005.0486345701</v>
      </c>
      <c r="J54" s="14">
        <f t="shared" ref="J54:J64" si="6">H54-I54</f>
        <v>-27070.048634570092</v>
      </c>
      <c r="K54" s="14">
        <f t="shared" ref="K54:K64" si="7">(J54^2)/I54</f>
        <v>183.3341524870778</v>
      </c>
    </row>
    <row r="55" spans="1:11" x14ac:dyDescent="0.3">
      <c r="A55" s="1" t="s">
        <v>45</v>
      </c>
      <c r="B55" s="1">
        <v>32929570</v>
      </c>
      <c r="C55" s="1">
        <v>29958509</v>
      </c>
      <c r="D55" s="1">
        <f t="shared" si="5"/>
        <v>62888079</v>
      </c>
      <c r="G55" s="14" t="s">
        <v>132</v>
      </c>
      <c r="H55" s="14">
        <f>B53</f>
        <v>9270946</v>
      </c>
      <c r="I55" s="14">
        <f>B66</f>
        <v>9232894.7582903691</v>
      </c>
      <c r="J55" s="14">
        <f t="shared" si="6"/>
        <v>38051.241709630936</v>
      </c>
      <c r="K55" s="14">
        <f t="shared" si="7"/>
        <v>156.8193977673867</v>
      </c>
    </row>
    <row r="56" spans="1:11" x14ac:dyDescent="0.3">
      <c r="A56" s="1" t="s">
        <v>44</v>
      </c>
      <c r="B56" s="1">
        <v>31641265</v>
      </c>
      <c r="C56" s="1">
        <v>30410379</v>
      </c>
      <c r="D56" s="1">
        <f t="shared" si="5"/>
        <v>62051644</v>
      </c>
      <c r="G56" s="14" t="s">
        <v>133</v>
      </c>
      <c r="H56" s="14">
        <f>C53</f>
        <v>8637373</v>
      </c>
      <c r="I56" s="14">
        <f>C66</f>
        <v>8675424.2417096309</v>
      </c>
      <c r="J56" s="14">
        <f t="shared" si="6"/>
        <v>-38051.241709630936</v>
      </c>
      <c r="K56" s="14">
        <f t="shared" si="7"/>
        <v>166.89639092040827</v>
      </c>
    </row>
    <row r="57" spans="1:11" x14ac:dyDescent="0.3">
      <c r="A57" s="1" t="s">
        <v>41</v>
      </c>
      <c r="B57" s="1">
        <v>46436043</v>
      </c>
      <c r="C57" s="1">
        <v>42941495</v>
      </c>
      <c r="D57" s="1">
        <f t="shared" si="5"/>
        <v>89377538</v>
      </c>
      <c r="G57" s="14" t="s">
        <v>134</v>
      </c>
      <c r="H57" s="14">
        <f>B54</f>
        <v>27541445</v>
      </c>
      <c r="I57" s="14">
        <f>B67</f>
        <v>28119058.094853215</v>
      </c>
      <c r="J57" s="14">
        <f t="shared" si="6"/>
        <v>-577613.09485321492</v>
      </c>
      <c r="K57" s="14">
        <f t="shared" si="7"/>
        <v>11865.151607157724</v>
      </c>
    </row>
    <row r="58" spans="1:11" x14ac:dyDescent="0.3">
      <c r="A58" s="1" t="s">
        <v>46</v>
      </c>
      <c r="B58" s="1">
        <f>SUM(B52:B57)</f>
        <v>152100186</v>
      </c>
      <c r="C58" s="1">
        <f>SUM(C52:C57)</f>
        <v>142916569</v>
      </c>
      <c r="D58" s="1">
        <f t="shared" si="5"/>
        <v>295016755</v>
      </c>
      <c r="G58" s="14" t="s">
        <v>135</v>
      </c>
      <c r="H58" s="14">
        <f>C54</f>
        <v>26998878</v>
      </c>
      <c r="I58" s="14">
        <f>C67</f>
        <v>26421264.905146785</v>
      </c>
      <c r="J58" s="14">
        <f t="shared" si="6"/>
        <v>577613.09485321492</v>
      </c>
      <c r="K58" s="14">
        <f t="shared" si="7"/>
        <v>12627.589502004408</v>
      </c>
    </row>
    <row r="59" spans="1:11" x14ac:dyDescent="0.3">
      <c r="G59" s="14" t="s">
        <v>136</v>
      </c>
      <c r="H59" s="14">
        <f>B55</f>
        <v>32929570</v>
      </c>
      <c r="I59" s="14">
        <f>B68</f>
        <v>32422865.315167248</v>
      </c>
      <c r="J59" s="14">
        <f t="shared" si="6"/>
        <v>506704.68483275175</v>
      </c>
      <c r="K59" s="14">
        <f t="shared" si="7"/>
        <v>7918.7830913683047</v>
      </c>
    </row>
    <row r="60" spans="1:11" x14ac:dyDescent="0.3">
      <c r="G60" s="14" t="s">
        <v>137</v>
      </c>
      <c r="H60" s="14">
        <f>C55</f>
        <v>29958509</v>
      </c>
      <c r="I60" s="14">
        <f>C68</f>
        <v>30465213.684832752</v>
      </c>
      <c r="J60" s="14">
        <f t="shared" si="6"/>
        <v>-506704.68483275175</v>
      </c>
      <c r="K60" s="14">
        <f t="shared" si="7"/>
        <v>8427.6329156122829</v>
      </c>
    </row>
    <row r="61" spans="1:11" x14ac:dyDescent="0.3">
      <c r="G61" s="14" t="s">
        <v>138</v>
      </c>
      <c r="H61" s="14">
        <f>B56</f>
        <v>31641265</v>
      </c>
      <c r="I61" s="14">
        <f>B69</f>
        <v>31991629.065290831</v>
      </c>
      <c r="J61" s="14">
        <f t="shared" si="6"/>
        <v>-350364.06529083103</v>
      </c>
      <c r="K61" s="14">
        <f t="shared" si="7"/>
        <v>3837.096822940478</v>
      </c>
    </row>
    <row r="62" spans="1:11" x14ac:dyDescent="0.3">
      <c r="G62" s="14" t="s">
        <v>139</v>
      </c>
      <c r="H62" s="14">
        <f>C56</f>
        <v>30410379</v>
      </c>
      <c r="I62" s="14">
        <f>C69</f>
        <v>30060014.934709169</v>
      </c>
      <c r="J62" s="14">
        <f t="shared" si="6"/>
        <v>350364.06529083103</v>
      </c>
      <c r="K62" s="14">
        <f t="shared" si="7"/>
        <v>4083.6632487955671</v>
      </c>
    </row>
    <row r="63" spans="1:11" x14ac:dyDescent="0.3">
      <c r="A63" s="20" t="s">
        <v>126</v>
      </c>
      <c r="B63" s="21"/>
      <c r="C63" s="21"/>
      <c r="D63" s="22"/>
      <c r="G63" s="14" t="s">
        <v>140</v>
      </c>
      <c r="H63" s="14">
        <f>B57</f>
        <v>46436043</v>
      </c>
      <c r="I63" s="14">
        <f>B70</f>
        <v>46079891.815032907</v>
      </c>
      <c r="J63" s="14">
        <f t="shared" si="6"/>
        <v>356151.18496709317</v>
      </c>
      <c r="K63" s="14">
        <f t="shared" si="7"/>
        <v>2752.6901986363537</v>
      </c>
    </row>
    <row r="64" spans="1:11" x14ac:dyDescent="0.3">
      <c r="A64" s="1" t="s">
        <v>50</v>
      </c>
      <c r="B64" s="1" t="s">
        <v>84</v>
      </c>
      <c r="C64" s="1" t="s">
        <v>85</v>
      </c>
      <c r="D64" s="1"/>
      <c r="G64" s="14" t="s">
        <v>141</v>
      </c>
      <c r="H64" s="14">
        <f>C57</f>
        <v>42941495</v>
      </c>
      <c r="I64" s="14">
        <f>C70</f>
        <v>43297646.184967093</v>
      </c>
      <c r="J64" s="14">
        <f t="shared" si="6"/>
        <v>-356151.18496709317</v>
      </c>
      <c r="K64" s="14">
        <f t="shared" si="7"/>
        <v>2929.5741854323855</v>
      </c>
    </row>
    <row r="65" spans="1:11" x14ac:dyDescent="0.3">
      <c r="A65" s="1" t="s">
        <v>42</v>
      </c>
      <c r="B65" s="1">
        <f>($B$58*D52)/$D$58</f>
        <v>4253846.9513654299</v>
      </c>
      <c r="C65" s="1">
        <f>($C$58*D52)/$D$58</f>
        <v>3997005.0486345701</v>
      </c>
      <c r="D65" s="1">
        <f>SUM(B65:C65)</f>
        <v>8250852</v>
      </c>
      <c r="G65" s="1" t="s">
        <v>142</v>
      </c>
      <c r="H65" s="1"/>
      <c r="I65" s="1"/>
      <c r="J65" s="1"/>
      <c r="K65" s="1">
        <f>SUM(K53:K64)</f>
        <v>55121.496181187773</v>
      </c>
    </row>
    <row r="66" spans="1:11" x14ac:dyDescent="0.3">
      <c r="A66" s="1" t="s">
        <v>43</v>
      </c>
      <c r="B66" s="1">
        <f t="shared" ref="B66:B70" si="8">($B$58*D53)/$D$58</f>
        <v>9232894.7582903691</v>
      </c>
      <c r="C66" s="1">
        <f t="shared" ref="C66:C70" si="9">($C$58*D53)/$D$58</f>
        <v>8675424.2417096309</v>
      </c>
      <c r="D66" s="1">
        <f t="shared" ref="D66:D71" si="10">SUM(B66:C66)</f>
        <v>17908319</v>
      </c>
      <c r="G66" s="1" t="s">
        <v>121</v>
      </c>
      <c r="H66" s="1"/>
      <c r="I66" s="1"/>
      <c r="J66" s="1"/>
      <c r="K66" s="1">
        <v>5</v>
      </c>
    </row>
    <row r="67" spans="1:11" x14ac:dyDescent="0.3">
      <c r="A67" s="1" t="s">
        <v>40</v>
      </c>
      <c r="B67" s="1">
        <f>($B$58*D54)/$D$58</f>
        <v>28119058.094853215</v>
      </c>
      <c r="C67" s="1">
        <f t="shared" si="9"/>
        <v>26421264.905146785</v>
      </c>
      <c r="D67" s="1">
        <f t="shared" si="10"/>
        <v>54540323</v>
      </c>
      <c r="G67" s="1" t="s">
        <v>143</v>
      </c>
      <c r="H67" s="1"/>
      <c r="I67" s="1"/>
      <c r="J67" s="1"/>
      <c r="K67" s="1">
        <v>11.07</v>
      </c>
    </row>
    <row r="68" spans="1:11" x14ac:dyDescent="0.3">
      <c r="A68" s="1" t="s">
        <v>45</v>
      </c>
      <c r="B68" s="1">
        <f t="shared" si="8"/>
        <v>32422865.315167248</v>
      </c>
      <c r="C68" s="1">
        <f t="shared" si="9"/>
        <v>30465213.684832752</v>
      </c>
      <c r="D68" s="1">
        <f t="shared" si="10"/>
        <v>62888079</v>
      </c>
    </row>
    <row r="69" spans="1:11" x14ac:dyDescent="0.3">
      <c r="A69" s="1" t="s">
        <v>44</v>
      </c>
      <c r="B69" s="1">
        <f t="shared" si="8"/>
        <v>31991629.065290831</v>
      </c>
      <c r="C69" s="1">
        <f>($C$58*D56)/$D$58</f>
        <v>30060014.934709169</v>
      </c>
      <c r="D69" s="1">
        <f t="shared" si="10"/>
        <v>62051644</v>
      </c>
      <c r="G69" t="s">
        <v>144</v>
      </c>
    </row>
    <row r="70" spans="1:11" x14ac:dyDescent="0.3">
      <c r="A70" s="1" t="s">
        <v>41</v>
      </c>
      <c r="B70" s="1">
        <f t="shared" si="8"/>
        <v>46079891.815032907</v>
      </c>
      <c r="C70" s="1">
        <f t="shared" si="9"/>
        <v>43297646.184967093</v>
      </c>
      <c r="D70" s="1">
        <f t="shared" si="10"/>
        <v>89377538</v>
      </c>
    </row>
    <row r="71" spans="1:11" x14ac:dyDescent="0.3">
      <c r="A71" s="1"/>
      <c r="B71" s="1">
        <f>SUM(B65:B70)</f>
        <v>152100186</v>
      </c>
      <c r="C71" s="1">
        <f>SUM(C65:C70)</f>
        <v>142916569</v>
      </c>
      <c r="D71" s="1">
        <f t="shared" si="10"/>
        <v>295016755</v>
      </c>
    </row>
  </sheetData>
  <mergeCells count="6">
    <mergeCell ref="A50:D50"/>
    <mergeCell ref="A63:D63"/>
    <mergeCell ref="G51:G52"/>
    <mergeCell ref="J51:J52"/>
    <mergeCell ref="K51:K52"/>
    <mergeCell ref="H51:I5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FF23-A930-480C-9208-10A5AD59445D}">
  <dimension ref="A1:H13"/>
  <sheetViews>
    <sheetView tabSelected="1" topLeftCell="B1" workbookViewId="0">
      <selection activeCell="F1" sqref="F1"/>
    </sheetView>
  </sheetViews>
  <sheetFormatPr defaultRowHeight="14.4" x14ac:dyDescent="0.3"/>
  <cols>
    <col min="1" max="1" width="14.21875" bestFit="1" customWidth="1"/>
    <col min="2" max="2" width="10" bestFit="1" customWidth="1"/>
    <col min="3" max="3" width="10.21875" bestFit="1" customWidth="1"/>
    <col min="4" max="4" width="10.109375" bestFit="1" customWidth="1"/>
    <col min="5" max="5" width="10" customWidth="1"/>
    <col min="6" max="6" width="17" customWidth="1"/>
    <col min="7" max="7" width="17.44140625" customWidth="1"/>
    <col min="8" max="8" width="17" customWidth="1"/>
  </cols>
  <sheetData>
    <row r="1" spans="1:8" x14ac:dyDescent="0.3">
      <c r="A1" s="1" t="s">
        <v>50</v>
      </c>
      <c r="B1" s="1" t="s">
        <v>153</v>
      </c>
      <c r="C1" s="1" t="s">
        <v>154</v>
      </c>
      <c r="D1" s="25" t="s">
        <v>155</v>
      </c>
      <c r="E1" s="25" t="s">
        <v>156</v>
      </c>
      <c r="F1" s="25" t="s">
        <v>157</v>
      </c>
      <c r="G1" s="25" t="s">
        <v>158</v>
      </c>
      <c r="H1" s="25" t="s">
        <v>159</v>
      </c>
    </row>
    <row r="2" spans="1:8" x14ac:dyDescent="0.3">
      <c r="A2" s="1" t="s">
        <v>42</v>
      </c>
      <c r="B2" s="1">
        <v>4280917</v>
      </c>
      <c r="C2" s="1">
        <v>3969935</v>
      </c>
      <c r="D2" s="9">
        <f>B2-$B$10</f>
        <v>-21069114</v>
      </c>
      <c r="E2" s="1">
        <f>C2-$C$10</f>
        <v>-19849493.166666668</v>
      </c>
      <c r="F2" s="9">
        <f>D2*E2</f>
        <v>418211234370721</v>
      </c>
      <c r="G2" s="9">
        <f>D2^2</f>
        <v>443907564744996</v>
      </c>
      <c r="H2" s="9">
        <f>E2^2</f>
        <v>394002378973546.75</v>
      </c>
    </row>
    <row r="3" spans="1:8" x14ac:dyDescent="0.3">
      <c r="A3" s="1" t="s">
        <v>43</v>
      </c>
      <c r="B3" s="1">
        <v>9270946</v>
      </c>
      <c r="C3" s="1">
        <v>8637373</v>
      </c>
      <c r="D3" s="9">
        <f t="shared" ref="D3:D7" si="0">B3-$B$10</f>
        <v>-16079085</v>
      </c>
      <c r="E3" s="1">
        <f t="shared" ref="E3:E7" si="1">C3-$C$10</f>
        <v>-15182055.166666668</v>
      </c>
      <c r="F3" s="9">
        <f t="shared" ref="F3:F7" si="2">D3*E3</f>
        <v>244113555499522.53</v>
      </c>
      <c r="G3" s="9">
        <f t="shared" ref="G3:G7" si="3">D3^2</f>
        <v>258536974437225</v>
      </c>
      <c r="H3" s="9">
        <f t="shared" ref="H3:H7" si="4">E3^2</f>
        <v>230494799083710.06</v>
      </c>
    </row>
    <row r="4" spans="1:8" x14ac:dyDescent="0.3">
      <c r="A4" s="1" t="s">
        <v>40</v>
      </c>
      <c r="B4" s="1">
        <v>27541445</v>
      </c>
      <c r="C4" s="1">
        <v>26998878</v>
      </c>
      <c r="D4" s="9">
        <f t="shared" si="0"/>
        <v>2191414</v>
      </c>
      <c r="E4" s="1">
        <f t="shared" si="1"/>
        <v>3179449.8333333321</v>
      </c>
      <c r="F4" s="9">
        <f t="shared" si="2"/>
        <v>6967490877064.3311</v>
      </c>
      <c r="G4" s="9">
        <f t="shared" si="3"/>
        <v>4802295319396</v>
      </c>
      <c r="H4" s="9">
        <f t="shared" si="4"/>
        <v>10108901242683.354</v>
      </c>
    </row>
    <row r="5" spans="1:8" x14ac:dyDescent="0.3">
      <c r="A5" s="1" t="s">
        <v>45</v>
      </c>
      <c r="B5" s="1">
        <v>32929570</v>
      </c>
      <c r="C5" s="1">
        <v>29958509</v>
      </c>
      <c r="D5" s="9">
        <f t="shared" si="0"/>
        <v>7579539</v>
      </c>
      <c r="E5" s="1">
        <f t="shared" si="1"/>
        <v>6139080.8333333321</v>
      </c>
      <c r="F5" s="9">
        <f t="shared" si="2"/>
        <v>46531402600402.492</v>
      </c>
      <c r="G5" s="9">
        <f t="shared" si="3"/>
        <v>57449411452521</v>
      </c>
      <c r="H5" s="9">
        <f t="shared" si="4"/>
        <v>37688313478200.68</v>
      </c>
    </row>
    <row r="6" spans="1:8" x14ac:dyDescent="0.3">
      <c r="A6" s="1" t="s">
        <v>44</v>
      </c>
      <c r="B6" s="1">
        <v>31641265</v>
      </c>
      <c r="C6" s="1">
        <v>30410379</v>
      </c>
      <c r="D6" s="9">
        <f t="shared" si="0"/>
        <v>6291234</v>
      </c>
      <c r="E6" s="1">
        <f t="shared" si="1"/>
        <v>6590950.8333333321</v>
      </c>
      <c r="F6" s="9">
        <f t="shared" si="2"/>
        <v>41465213974994.992</v>
      </c>
      <c r="G6" s="9">
        <f t="shared" si="3"/>
        <v>39579625242756</v>
      </c>
      <c r="H6" s="9">
        <f t="shared" si="4"/>
        <v>43440632887417.344</v>
      </c>
    </row>
    <row r="7" spans="1:8" x14ac:dyDescent="0.3">
      <c r="A7" s="1" t="s">
        <v>41</v>
      </c>
      <c r="B7" s="1">
        <v>46436043</v>
      </c>
      <c r="C7" s="1">
        <v>42941495</v>
      </c>
      <c r="D7" s="9">
        <f t="shared" si="0"/>
        <v>21086012</v>
      </c>
      <c r="E7" s="1">
        <f t="shared" si="1"/>
        <v>19122066.833333332</v>
      </c>
      <c r="F7" s="9">
        <f t="shared" si="2"/>
        <v>403208130712468.63</v>
      </c>
      <c r="G7" s="9">
        <f t="shared" si="3"/>
        <v>444619902064144</v>
      </c>
      <c r="H7" s="9">
        <f t="shared" si="4"/>
        <v>365653439978466.63</v>
      </c>
    </row>
    <row r="8" spans="1:8" x14ac:dyDescent="0.3">
      <c r="G8" s="15"/>
      <c r="H8" s="15"/>
    </row>
    <row r="9" spans="1:8" x14ac:dyDescent="0.3">
      <c r="A9" t="s">
        <v>81</v>
      </c>
      <c r="B9">
        <f>SUM(B2:B7)</f>
        <v>152100186</v>
      </c>
      <c r="C9">
        <f>SUM(C2:C7)</f>
        <v>142916569</v>
      </c>
      <c r="F9" s="15">
        <f t="shared" ref="F9:H9" si="5">SUM(F2:F7)</f>
        <v>1160497028035174</v>
      </c>
      <c r="G9" s="15">
        <f t="shared" si="5"/>
        <v>1248895773261038</v>
      </c>
      <c r="H9" s="15">
        <f t="shared" si="5"/>
        <v>1081388465644024.8</v>
      </c>
    </row>
    <row r="10" spans="1:8" x14ac:dyDescent="0.3">
      <c r="A10" t="s">
        <v>152</v>
      </c>
      <c r="B10">
        <f>B9/6</f>
        <v>25350031</v>
      </c>
      <c r="C10">
        <f>C9/6</f>
        <v>23819428.166666668</v>
      </c>
      <c r="F10">
        <f>SUM(F2:F7)</f>
        <v>1160497028035174</v>
      </c>
    </row>
    <row r="13" spans="1:8" x14ac:dyDescent="0.3">
      <c r="G13">
        <f>F9/(G9*H9)^(1/2)</f>
        <v>0.99859656588638601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F6DC-1B97-4BC6-B482-1736B81F4702}">
  <dimension ref="A1:AC43"/>
  <sheetViews>
    <sheetView topLeftCell="A5" workbookViewId="0">
      <selection activeCell="I26" sqref="I26:L43"/>
    </sheetView>
  </sheetViews>
  <sheetFormatPr defaultRowHeight="14.4" x14ac:dyDescent="0.3"/>
  <cols>
    <col min="9" max="9" width="9.44140625" bestFit="1" customWidth="1"/>
    <col min="10" max="12" width="11" bestFit="1" customWidth="1"/>
  </cols>
  <sheetData>
    <row r="1" spans="1:29" x14ac:dyDescent="0.3">
      <c r="A1" t="s">
        <v>47</v>
      </c>
      <c r="F1" t="s">
        <v>65</v>
      </c>
      <c r="K1" t="s">
        <v>66</v>
      </c>
      <c r="P1" s="4" t="s">
        <v>48</v>
      </c>
      <c r="U1" t="s">
        <v>49</v>
      </c>
      <c r="Z1" t="s">
        <v>45</v>
      </c>
    </row>
    <row r="3" spans="1:29" x14ac:dyDescent="0.3">
      <c r="A3" t="s">
        <v>0</v>
      </c>
      <c r="B3" t="s">
        <v>34</v>
      </c>
      <c r="C3" t="s">
        <v>35</v>
      </c>
      <c r="F3" t="s">
        <v>0</v>
      </c>
      <c r="G3" t="s">
        <v>34</v>
      </c>
      <c r="H3" t="s">
        <v>35</v>
      </c>
      <c r="K3" s="1" t="s">
        <v>0</v>
      </c>
      <c r="L3" s="1" t="s">
        <v>34</v>
      </c>
      <c r="M3" s="1" t="s">
        <v>35</v>
      </c>
      <c r="N3" s="1"/>
      <c r="P3" s="1" t="s">
        <v>0</v>
      </c>
      <c r="Q3" s="1" t="s">
        <v>34</v>
      </c>
      <c r="R3" s="1" t="s">
        <v>35</v>
      </c>
      <c r="S3" s="1"/>
      <c r="U3" t="s">
        <v>0</v>
      </c>
      <c r="V3" t="s">
        <v>34</v>
      </c>
      <c r="W3" t="s">
        <v>35</v>
      </c>
      <c r="Z3" t="s">
        <v>0</v>
      </c>
      <c r="AA3" t="s">
        <v>34</v>
      </c>
      <c r="AB3" t="s">
        <v>35</v>
      </c>
    </row>
    <row r="4" spans="1:29" x14ac:dyDescent="0.3">
      <c r="A4" t="s">
        <v>5</v>
      </c>
      <c r="B4">
        <v>2740205</v>
      </c>
      <c r="C4">
        <v>2607412</v>
      </c>
      <c r="D4">
        <v>5347617</v>
      </c>
      <c r="F4" t="s">
        <v>5</v>
      </c>
      <c r="G4">
        <v>3687945</v>
      </c>
      <c r="H4">
        <v>3260411</v>
      </c>
      <c r="I4">
        <v>6948356</v>
      </c>
      <c r="K4" s="1" t="s">
        <v>5</v>
      </c>
      <c r="L4" s="1">
        <v>346072</v>
      </c>
      <c r="M4" s="1">
        <v>319330</v>
      </c>
      <c r="N4" s="1">
        <v>665402</v>
      </c>
      <c r="P4" s="1" t="s">
        <v>5</v>
      </c>
      <c r="Q4" s="1">
        <v>467924</v>
      </c>
      <c r="R4" s="1">
        <v>435180</v>
      </c>
      <c r="S4" s="1">
        <v>903104</v>
      </c>
      <c r="U4" t="s">
        <v>5</v>
      </c>
      <c r="V4">
        <v>2449439</v>
      </c>
      <c r="W4">
        <v>2294628</v>
      </c>
      <c r="X4">
        <v>4744067</v>
      </c>
      <c r="Z4" t="s">
        <v>5</v>
      </c>
      <c r="AA4">
        <v>2574074</v>
      </c>
      <c r="AB4">
        <v>2273621</v>
      </c>
      <c r="AC4">
        <v>4847695</v>
      </c>
    </row>
    <row r="5" spans="1:29" x14ac:dyDescent="0.3">
      <c r="A5" t="s">
        <v>6</v>
      </c>
      <c r="B5">
        <v>2768364</v>
      </c>
      <c r="C5">
        <v>2691460</v>
      </c>
      <c r="D5">
        <v>5459824</v>
      </c>
      <c r="F5" t="s">
        <v>6</v>
      </c>
      <c r="G5">
        <v>3872902</v>
      </c>
      <c r="H5">
        <v>3480809</v>
      </c>
      <c r="I5">
        <v>7353711</v>
      </c>
      <c r="K5" s="1" t="s">
        <v>6</v>
      </c>
      <c r="L5" s="1">
        <v>364355</v>
      </c>
      <c r="M5" s="1">
        <v>334710</v>
      </c>
      <c r="N5" s="1">
        <v>699065</v>
      </c>
      <c r="P5" s="1" t="s">
        <v>6</v>
      </c>
      <c r="Q5" s="1">
        <v>549055</v>
      </c>
      <c r="R5" s="1">
        <v>512886</v>
      </c>
      <c r="S5" s="1">
        <v>1061941</v>
      </c>
      <c r="U5" t="s">
        <v>6</v>
      </c>
      <c r="V5">
        <v>2315787</v>
      </c>
      <c r="W5">
        <v>2173176</v>
      </c>
      <c r="X5">
        <v>4488963</v>
      </c>
      <c r="Z5" t="s">
        <v>6</v>
      </c>
      <c r="AA5">
        <v>2880491</v>
      </c>
      <c r="AB5">
        <v>2429032</v>
      </c>
      <c r="AC5">
        <v>5309523</v>
      </c>
    </row>
    <row r="6" spans="1:29" x14ac:dyDescent="0.3">
      <c r="A6" t="s">
        <v>7</v>
      </c>
      <c r="B6">
        <v>2811565</v>
      </c>
      <c r="C6">
        <v>2713052</v>
      </c>
      <c r="D6">
        <v>5524617</v>
      </c>
      <c r="F6" t="s">
        <v>7</v>
      </c>
      <c r="G6">
        <v>4170524</v>
      </c>
      <c r="H6">
        <v>3510144.5</v>
      </c>
      <c r="I6">
        <v>7680668.5</v>
      </c>
      <c r="K6" s="1" t="s">
        <v>7</v>
      </c>
      <c r="L6" s="1">
        <v>402970</v>
      </c>
      <c r="M6" s="1">
        <v>365560</v>
      </c>
      <c r="N6" s="1">
        <v>768530</v>
      </c>
      <c r="P6" s="1" t="s">
        <v>7</v>
      </c>
      <c r="Q6" s="1">
        <v>668432</v>
      </c>
      <c r="R6" s="1">
        <v>608635</v>
      </c>
      <c r="S6" s="1">
        <v>1277067</v>
      </c>
      <c r="U6" t="s">
        <v>7</v>
      </c>
      <c r="V6">
        <v>2377787</v>
      </c>
      <c r="W6">
        <v>2236179</v>
      </c>
      <c r="X6">
        <v>4613966</v>
      </c>
      <c r="Z6" t="s">
        <v>7</v>
      </c>
      <c r="AA6">
        <v>3170704</v>
      </c>
      <c r="AB6">
        <v>2599546</v>
      </c>
      <c r="AC6">
        <v>5770250</v>
      </c>
    </row>
    <row r="7" spans="1:29" x14ac:dyDescent="0.3">
      <c r="A7" t="s">
        <v>8</v>
      </c>
      <c r="B7">
        <v>2810113</v>
      </c>
      <c r="C7">
        <v>2722659</v>
      </c>
      <c r="D7">
        <v>5532772</v>
      </c>
      <c r="F7" t="s">
        <v>8</v>
      </c>
      <c r="G7">
        <v>4271080.5</v>
      </c>
      <c r="H7">
        <v>3883339.5</v>
      </c>
      <c r="I7">
        <v>8154420</v>
      </c>
      <c r="K7" s="1" t="s">
        <v>8</v>
      </c>
      <c r="L7" s="1">
        <v>453953</v>
      </c>
      <c r="M7" s="1">
        <v>400965</v>
      </c>
      <c r="N7" s="1">
        <v>854918</v>
      </c>
      <c r="P7" s="1" t="s">
        <v>8</v>
      </c>
      <c r="Q7" s="1">
        <v>741228</v>
      </c>
      <c r="R7" s="1">
        <v>687300</v>
      </c>
      <c r="S7" s="1">
        <v>1428528</v>
      </c>
      <c r="U7" t="s">
        <v>8</v>
      </c>
      <c r="V7">
        <v>2465238</v>
      </c>
      <c r="W7">
        <v>2346451</v>
      </c>
      <c r="X7">
        <v>4811689</v>
      </c>
      <c r="Z7" t="s">
        <v>8</v>
      </c>
      <c r="AA7">
        <v>3369383</v>
      </c>
      <c r="AB7">
        <v>2724781</v>
      </c>
      <c r="AC7">
        <v>6094164</v>
      </c>
    </row>
    <row r="8" spans="1:29" x14ac:dyDescent="0.3">
      <c r="A8" t="s">
        <v>9</v>
      </c>
      <c r="B8">
        <v>2772607</v>
      </c>
      <c r="C8">
        <v>2789027</v>
      </c>
      <c r="D8">
        <v>5561634</v>
      </c>
      <c r="F8" t="s">
        <v>9</v>
      </c>
      <c r="G8">
        <v>5123992</v>
      </c>
      <c r="H8">
        <v>4443172</v>
      </c>
      <c r="I8">
        <v>9567164</v>
      </c>
      <c r="K8" s="1" t="s">
        <v>9</v>
      </c>
      <c r="L8" s="1">
        <v>468728</v>
      </c>
      <c r="M8" s="1">
        <v>433072</v>
      </c>
      <c r="N8" s="1">
        <v>901800</v>
      </c>
      <c r="P8" s="1" t="s">
        <v>9</v>
      </c>
      <c r="Q8" s="1">
        <v>790540</v>
      </c>
      <c r="R8" s="1">
        <v>774825</v>
      </c>
      <c r="S8" s="1">
        <v>1565365</v>
      </c>
      <c r="U8" t="s">
        <v>9</v>
      </c>
      <c r="V8">
        <v>3116730</v>
      </c>
      <c r="W8">
        <v>3195260</v>
      </c>
      <c r="X8">
        <v>6311990</v>
      </c>
      <c r="Z8" t="s">
        <v>9</v>
      </c>
      <c r="AA8">
        <v>3464738</v>
      </c>
      <c r="AB8">
        <v>3069896</v>
      </c>
      <c r="AC8">
        <v>6534634</v>
      </c>
    </row>
    <row r="9" spans="1:29" x14ac:dyDescent="0.3">
      <c r="A9" t="s">
        <v>10</v>
      </c>
      <c r="B9">
        <v>2597722</v>
      </c>
      <c r="C9">
        <v>2584160</v>
      </c>
      <c r="D9">
        <v>5181882</v>
      </c>
      <c r="F9" t="s">
        <v>10</v>
      </c>
      <c r="G9">
        <v>4399169.5</v>
      </c>
      <c r="H9">
        <v>4153636</v>
      </c>
      <c r="I9">
        <v>8552805.5</v>
      </c>
      <c r="K9" s="1" t="s">
        <v>10</v>
      </c>
      <c r="L9" s="1">
        <v>412297</v>
      </c>
      <c r="M9" s="1">
        <v>405088</v>
      </c>
      <c r="N9" s="1">
        <v>817385</v>
      </c>
      <c r="P9" s="1" t="s">
        <v>10</v>
      </c>
      <c r="Q9" s="1">
        <v>801517</v>
      </c>
      <c r="R9" s="1">
        <v>798539</v>
      </c>
      <c r="S9" s="1">
        <v>1600056</v>
      </c>
      <c r="U9" t="s">
        <v>10</v>
      </c>
      <c r="V9">
        <v>3463720</v>
      </c>
      <c r="W9">
        <v>3556704</v>
      </c>
      <c r="X9">
        <v>7020424</v>
      </c>
      <c r="Z9" t="s">
        <v>10</v>
      </c>
      <c r="AA9">
        <v>3205239</v>
      </c>
      <c r="AB9">
        <v>2942857</v>
      </c>
      <c r="AC9">
        <v>6148096</v>
      </c>
    </row>
    <row r="10" spans="1:29" x14ac:dyDescent="0.3">
      <c r="A10" t="s">
        <v>11</v>
      </c>
      <c r="B10">
        <v>2200092</v>
      </c>
      <c r="C10">
        <v>2189502</v>
      </c>
      <c r="D10">
        <v>4389594</v>
      </c>
      <c r="F10" t="s">
        <v>11</v>
      </c>
      <c r="G10">
        <v>3846193.5</v>
      </c>
      <c r="H10">
        <v>3777274.5</v>
      </c>
      <c r="I10">
        <v>7623468</v>
      </c>
      <c r="K10" s="1" t="s">
        <v>11</v>
      </c>
      <c r="L10" s="1">
        <v>346808</v>
      </c>
      <c r="M10" s="1">
        <v>332122</v>
      </c>
      <c r="N10" s="1">
        <v>678930</v>
      </c>
      <c r="P10" s="1" t="s">
        <v>11</v>
      </c>
      <c r="Q10" s="1">
        <v>767757</v>
      </c>
      <c r="R10" s="1">
        <v>745459</v>
      </c>
      <c r="S10" s="1">
        <v>1513216</v>
      </c>
      <c r="U10" t="s">
        <v>11</v>
      </c>
      <c r="V10">
        <v>3106821</v>
      </c>
      <c r="W10">
        <v>2889728</v>
      </c>
      <c r="X10">
        <v>5996549</v>
      </c>
      <c r="Z10" t="s">
        <v>11</v>
      </c>
      <c r="AA10">
        <v>2756339</v>
      </c>
      <c r="AB10">
        <v>2510601</v>
      </c>
      <c r="AC10">
        <v>5266940</v>
      </c>
    </row>
    <row r="11" spans="1:29" x14ac:dyDescent="0.3">
      <c r="A11" t="s">
        <v>12</v>
      </c>
      <c r="B11">
        <v>1913468</v>
      </c>
      <c r="C11">
        <v>1899935</v>
      </c>
      <c r="D11">
        <v>3813403</v>
      </c>
      <c r="F11" t="s">
        <v>12</v>
      </c>
      <c r="G11">
        <v>3456960</v>
      </c>
      <c r="H11">
        <v>3519775</v>
      </c>
      <c r="I11">
        <v>6976735</v>
      </c>
      <c r="K11" s="1" t="s">
        <v>12</v>
      </c>
      <c r="L11" s="1">
        <v>315234</v>
      </c>
      <c r="M11" s="1">
        <v>304689</v>
      </c>
      <c r="N11" s="1">
        <v>619923</v>
      </c>
      <c r="P11" s="1" t="s">
        <v>12</v>
      </c>
      <c r="Q11" s="1">
        <v>775804</v>
      </c>
      <c r="R11" s="1">
        <v>762879</v>
      </c>
      <c r="S11" s="1">
        <v>1538683</v>
      </c>
      <c r="U11" t="s">
        <v>12</v>
      </c>
      <c r="V11">
        <v>2744292</v>
      </c>
      <c r="W11">
        <v>2574956</v>
      </c>
      <c r="X11">
        <v>5319248</v>
      </c>
      <c r="Z11" t="s">
        <v>12</v>
      </c>
      <c r="AA11">
        <v>2525800</v>
      </c>
      <c r="AB11">
        <v>2303844</v>
      </c>
      <c r="AC11">
        <v>4829644</v>
      </c>
    </row>
    <row r="12" spans="1:29" x14ac:dyDescent="0.3">
      <c r="A12" t="s">
        <v>13</v>
      </c>
      <c r="B12">
        <v>1667442</v>
      </c>
      <c r="C12">
        <v>1616660</v>
      </c>
      <c r="D12">
        <v>3284102</v>
      </c>
      <c r="F12" t="s">
        <v>13</v>
      </c>
      <c r="G12">
        <v>3173189</v>
      </c>
      <c r="H12">
        <v>2974667</v>
      </c>
      <c r="I12">
        <v>6147856</v>
      </c>
      <c r="K12" s="1" t="s">
        <v>13</v>
      </c>
      <c r="L12" s="1">
        <v>284759</v>
      </c>
      <c r="M12" s="1">
        <v>261360</v>
      </c>
      <c r="N12" s="1">
        <v>546119</v>
      </c>
      <c r="P12" s="1" t="s">
        <v>13</v>
      </c>
      <c r="Q12" s="1">
        <v>750429</v>
      </c>
      <c r="R12" s="1">
        <v>668813</v>
      </c>
      <c r="S12" s="1">
        <v>1419242</v>
      </c>
      <c r="U12" t="s">
        <v>13</v>
      </c>
      <c r="V12">
        <v>2266831</v>
      </c>
      <c r="W12">
        <v>2056376</v>
      </c>
      <c r="X12">
        <v>4323207</v>
      </c>
      <c r="Z12" t="s">
        <v>13</v>
      </c>
      <c r="AA12">
        <v>2178950</v>
      </c>
      <c r="AB12">
        <v>1961432</v>
      </c>
      <c r="AC12">
        <v>4140382</v>
      </c>
    </row>
    <row r="13" spans="1:29" x14ac:dyDescent="0.3">
      <c r="A13" t="s">
        <v>14</v>
      </c>
      <c r="B13">
        <v>1431267</v>
      </c>
      <c r="C13">
        <v>1390419</v>
      </c>
      <c r="D13">
        <v>2821686</v>
      </c>
      <c r="F13" t="s">
        <v>14</v>
      </c>
      <c r="G13">
        <v>2714536</v>
      </c>
      <c r="H13">
        <v>2502935.5</v>
      </c>
      <c r="I13">
        <v>5217471.5</v>
      </c>
      <c r="K13" s="1" t="s">
        <v>14</v>
      </c>
      <c r="L13" s="1">
        <v>247626</v>
      </c>
      <c r="M13" s="1">
        <v>217076</v>
      </c>
      <c r="N13" s="1">
        <v>464702</v>
      </c>
      <c r="P13" s="1" t="s">
        <v>14</v>
      </c>
      <c r="Q13" s="1">
        <v>691036</v>
      </c>
      <c r="R13" s="1">
        <v>626694</v>
      </c>
      <c r="S13" s="1">
        <v>1317730</v>
      </c>
      <c r="U13" t="s">
        <v>14</v>
      </c>
      <c r="V13">
        <v>1907449</v>
      </c>
      <c r="W13">
        <v>1799741</v>
      </c>
      <c r="X13">
        <v>3707190</v>
      </c>
      <c r="Z13" t="s">
        <v>14</v>
      </c>
      <c r="AA13">
        <v>1893715</v>
      </c>
      <c r="AB13">
        <v>1643008</v>
      </c>
      <c r="AC13">
        <v>3536723</v>
      </c>
    </row>
    <row r="14" spans="1:29" x14ac:dyDescent="0.3">
      <c r="A14" t="s">
        <v>15</v>
      </c>
      <c r="B14">
        <v>1169733</v>
      </c>
      <c r="C14">
        <v>1106517</v>
      </c>
      <c r="D14">
        <v>2276250</v>
      </c>
      <c r="F14" t="s">
        <v>15</v>
      </c>
      <c r="G14">
        <v>2247127.5</v>
      </c>
      <c r="H14">
        <v>1995714.5</v>
      </c>
      <c r="I14">
        <v>4242842</v>
      </c>
      <c r="K14" s="1" t="s">
        <v>15</v>
      </c>
      <c r="L14" s="1">
        <v>183031</v>
      </c>
      <c r="M14" s="1">
        <v>157479</v>
      </c>
      <c r="N14" s="1">
        <v>340510</v>
      </c>
      <c r="P14" s="1" t="s">
        <v>15</v>
      </c>
      <c r="Q14" s="1">
        <v>614090</v>
      </c>
      <c r="R14" s="1">
        <v>522746</v>
      </c>
      <c r="S14" s="1">
        <v>1136836</v>
      </c>
      <c r="U14" t="s">
        <v>15</v>
      </c>
      <c r="V14">
        <v>1498630</v>
      </c>
      <c r="W14">
        <v>1402851</v>
      </c>
      <c r="X14">
        <v>2901481</v>
      </c>
      <c r="Z14" t="s">
        <v>15</v>
      </c>
      <c r="AA14">
        <v>1453380</v>
      </c>
      <c r="AB14">
        <v>1244599</v>
      </c>
      <c r="AC14">
        <v>2697979</v>
      </c>
    </row>
    <row r="15" spans="1:29" x14ac:dyDescent="0.3">
      <c r="A15" t="s">
        <v>16</v>
      </c>
      <c r="B15">
        <v>850823</v>
      </c>
      <c r="C15">
        <v>782961</v>
      </c>
      <c r="D15">
        <v>1633784</v>
      </c>
      <c r="F15" t="s">
        <v>16</v>
      </c>
      <c r="G15">
        <v>1736518</v>
      </c>
      <c r="H15">
        <v>1605927.5</v>
      </c>
      <c r="I15">
        <v>3342445.5</v>
      </c>
      <c r="K15" s="1" t="s">
        <v>16</v>
      </c>
      <c r="L15" s="1">
        <v>130482</v>
      </c>
      <c r="M15" s="1">
        <v>118215</v>
      </c>
      <c r="N15" s="1">
        <v>248697</v>
      </c>
      <c r="P15" s="1" t="s">
        <v>16</v>
      </c>
      <c r="Q15" s="1">
        <v>493790</v>
      </c>
      <c r="R15" s="1">
        <v>421841</v>
      </c>
      <c r="S15" s="1">
        <v>915631</v>
      </c>
      <c r="U15" t="s">
        <v>16</v>
      </c>
      <c r="V15">
        <v>1248791</v>
      </c>
      <c r="W15">
        <v>1170242</v>
      </c>
      <c r="X15">
        <v>2419033</v>
      </c>
      <c r="Z15" t="s">
        <v>16</v>
      </c>
      <c r="AA15">
        <v>1058341</v>
      </c>
      <c r="AB15">
        <v>968332</v>
      </c>
      <c r="AC15">
        <v>2026673</v>
      </c>
    </row>
    <row r="16" spans="1:29" x14ac:dyDescent="0.3">
      <c r="A16" t="s">
        <v>17</v>
      </c>
      <c r="B16">
        <v>662607</v>
      </c>
      <c r="C16">
        <v>647652</v>
      </c>
      <c r="D16">
        <v>1310259</v>
      </c>
      <c r="F16" t="s">
        <v>17</v>
      </c>
      <c r="G16">
        <v>1342109</v>
      </c>
      <c r="H16">
        <v>1301465</v>
      </c>
      <c r="I16">
        <v>2643574</v>
      </c>
      <c r="K16" s="1" t="s">
        <v>17</v>
      </c>
      <c r="L16" s="1">
        <v>117306</v>
      </c>
      <c r="M16" s="1">
        <v>115902</v>
      </c>
      <c r="N16" s="1">
        <v>233208</v>
      </c>
      <c r="P16" s="1" t="s">
        <v>17</v>
      </c>
      <c r="Q16" s="1">
        <v>412334</v>
      </c>
      <c r="R16" s="1">
        <v>362420</v>
      </c>
      <c r="S16" s="1">
        <v>774754</v>
      </c>
      <c r="U16" t="s">
        <v>17</v>
      </c>
      <c r="V16">
        <v>1021376</v>
      </c>
      <c r="W16">
        <v>979722</v>
      </c>
      <c r="X16">
        <v>2001098</v>
      </c>
      <c r="Z16" t="s">
        <v>17</v>
      </c>
      <c r="AA16">
        <v>969281</v>
      </c>
      <c r="AB16">
        <v>979972</v>
      </c>
      <c r="AC16">
        <v>1949253</v>
      </c>
    </row>
    <row r="17" spans="1:29" x14ac:dyDescent="0.3">
      <c r="A17" t="s">
        <v>18</v>
      </c>
      <c r="B17">
        <v>445572</v>
      </c>
      <c r="C17">
        <v>453734</v>
      </c>
      <c r="D17">
        <v>899306</v>
      </c>
      <c r="F17" t="s">
        <v>18</v>
      </c>
      <c r="G17">
        <v>981787.5</v>
      </c>
      <c r="H17">
        <v>1006726.5</v>
      </c>
      <c r="I17">
        <v>1988514</v>
      </c>
      <c r="K17" s="1" t="s">
        <v>18</v>
      </c>
      <c r="L17" s="1">
        <v>78868</v>
      </c>
      <c r="M17" s="1">
        <v>77898</v>
      </c>
      <c r="N17" s="1">
        <v>156766</v>
      </c>
      <c r="P17" s="1" t="s">
        <v>18</v>
      </c>
      <c r="Q17" s="1">
        <v>270170</v>
      </c>
      <c r="R17" s="1">
        <v>246024</v>
      </c>
      <c r="S17" s="1">
        <v>516194</v>
      </c>
      <c r="U17" t="s">
        <v>18</v>
      </c>
      <c r="V17">
        <v>638837</v>
      </c>
      <c r="W17">
        <v>642720</v>
      </c>
      <c r="X17">
        <v>1281557</v>
      </c>
      <c r="Z17" t="s">
        <v>18</v>
      </c>
      <c r="AA17">
        <v>590409</v>
      </c>
      <c r="AB17">
        <v>548492</v>
      </c>
      <c r="AC17">
        <v>1138901</v>
      </c>
    </row>
    <row r="18" spans="1:29" x14ac:dyDescent="0.3">
      <c r="A18" t="s">
        <v>19</v>
      </c>
      <c r="B18">
        <v>314711</v>
      </c>
      <c r="C18">
        <v>331877</v>
      </c>
      <c r="D18">
        <v>646588</v>
      </c>
      <c r="F18" t="s">
        <v>19</v>
      </c>
      <c r="G18">
        <v>812421.5</v>
      </c>
      <c r="H18">
        <v>861910</v>
      </c>
      <c r="I18">
        <v>1674331.5</v>
      </c>
      <c r="K18" s="1" t="s">
        <v>19</v>
      </c>
      <c r="L18" s="1">
        <v>61387</v>
      </c>
      <c r="M18" s="1">
        <v>56167</v>
      </c>
      <c r="N18" s="1">
        <v>117554</v>
      </c>
      <c r="P18" s="1" t="s">
        <v>19</v>
      </c>
      <c r="Q18" s="1">
        <v>214022</v>
      </c>
      <c r="R18" s="1">
        <v>195316</v>
      </c>
      <c r="S18" s="1">
        <v>409338</v>
      </c>
      <c r="U18" t="s">
        <v>19</v>
      </c>
      <c r="V18">
        <v>460740</v>
      </c>
      <c r="W18">
        <v>462818</v>
      </c>
      <c r="X18">
        <v>923558</v>
      </c>
      <c r="Z18" t="s">
        <v>19</v>
      </c>
      <c r="AA18">
        <v>396902</v>
      </c>
      <c r="AB18">
        <v>390547</v>
      </c>
      <c r="AC18">
        <v>787449</v>
      </c>
    </row>
    <row r="19" spans="1:29" x14ac:dyDescent="0.3">
      <c r="A19" t="s">
        <v>20</v>
      </c>
      <c r="B19">
        <v>385154</v>
      </c>
      <c r="C19">
        <v>471851</v>
      </c>
      <c r="D19">
        <v>857005</v>
      </c>
      <c r="F19" t="s">
        <v>20</v>
      </c>
      <c r="G19">
        <v>599588</v>
      </c>
      <c r="H19">
        <v>663587.5</v>
      </c>
      <c r="I19">
        <v>1263175.5</v>
      </c>
      <c r="K19" s="1" t="s">
        <v>20</v>
      </c>
      <c r="L19" s="1">
        <v>67041</v>
      </c>
      <c r="M19" s="1">
        <v>70302</v>
      </c>
      <c r="N19" s="1">
        <v>137343</v>
      </c>
      <c r="P19" s="1" t="s">
        <v>20</v>
      </c>
      <c r="Q19" s="1">
        <v>262818</v>
      </c>
      <c r="R19" s="1">
        <v>267816</v>
      </c>
      <c r="S19" s="1">
        <v>530634</v>
      </c>
      <c r="U19" t="s">
        <v>20</v>
      </c>
      <c r="V19">
        <v>558797</v>
      </c>
      <c r="W19">
        <v>628827</v>
      </c>
      <c r="X19">
        <v>1187624</v>
      </c>
      <c r="Z19" t="s">
        <v>20</v>
      </c>
      <c r="AA19">
        <v>441824</v>
      </c>
      <c r="AB19">
        <v>1367949</v>
      </c>
      <c r="AC19">
        <v>1809773</v>
      </c>
    </row>
    <row r="20" spans="1:29" x14ac:dyDescent="0.3">
      <c r="A20" t="s">
        <v>24</v>
      </c>
      <c r="B20">
        <v>27541445</v>
      </c>
      <c r="C20">
        <v>26998878</v>
      </c>
      <c r="D20">
        <v>54540323</v>
      </c>
      <c r="F20" t="s">
        <v>24</v>
      </c>
      <c r="G20">
        <v>46436043</v>
      </c>
      <c r="H20">
        <v>42941495</v>
      </c>
      <c r="I20">
        <v>89377538</v>
      </c>
      <c r="K20" s="1" t="s">
        <v>24</v>
      </c>
      <c r="L20" s="1">
        <v>4280917</v>
      </c>
      <c r="M20" s="1">
        <v>3969935</v>
      </c>
      <c r="N20" s="1">
        <v>8250852</v>
      </c>
      <c r="P20" s="1" t="s">
        <v>24</v>
      </c>
      <c r="Q20" s="1">
        <v>9270946</v>
      </c>
      <c r="R20" s="1">
        <v>8637373</v>
      </c>
      <c r="S20" s="1">
        <v>17908319</v>
      </c>
      <c r="U20" t="s">
        <v>24</v>
      </c>
      <c r="V20">
        <v>31641265</v>
      </c>
      <c r="W20">
        <v>30410379</v>
      </c>
      <c r="X20">
        <v>62051644</v>
      </c>
      <c r="Z20" t="s">
        <v>24</v>
      </c>
      <c r="AA20">
        <v>32929570</v>
      </c>
      <c r="AB20">
        <v>29958509</v>
      </c>
      <c r="AC20">
        <v>62888079</v>
      </c>
    </row>
    <row r="26" spans="1:29" x14ac:dyDescent="0.3">
      <c r="I26" s="1" t="s">
        <v>0</v>
      </c>
      <c r="J26" s="1" t="s">
        <v>34</v>
      </c>
      <c r="K26" s="1" t="s">
        <v>35</v>
      </c>
      <c r="L26" s="1" t="s">
        <v>46</v>
      </c>
    </row>
    <row r="27" spans="1:29" x14ac:dyDescent="0.3">
      <c r="I27" s="1" t="s">
        <v>5</v>
      </c>
      <c r="J27" s="1">
        <f>B4+G4+L4+Q4+V4+AA4</f>
        <v>12265659</v>
      </c>
      <c r="K27" s="1">
        <f>C4+H4+M4+R4+W4+AB4</f>
        <v>11190582</v>
      </c>
      <c r="L27" s="1">
        <f>SUM(J27:K27)</f>
        <v>23456241</v>
      </c>
    </row>
    <row r="28" spans="1:29" x14ac:dyDescent="0.3">
      <c r="I28" s="1" t="s">
        <v>6</v>
      </c>
      <c r="J28" s="1">
        <f t="shared" ref="J28:J42" si="0">B5+G5+L5+Q5+V5+AA5</f>
        <v>12750954</v>
      </c>
      <c r="K28" s="1">
        <f t="shared" ref="K28:K42" si="1">C5+H5+M5+R5+W5+AB5</f>
        <v>11622073</v>
      </c>
      <c r="L28" s="1">
        <f t="shared" ref="L28:L43" si="2">SUM(J28:K28)</f>
        <v>24373027</v>
      </c>
    </row>
    <row r="29" spans="1:29" x14ac:dyDescent="0.3">
      <c r="I29" s="1" t="s">
        <v>7</v>
      </c>
      <c r="J29" s="1">
        <f t="shared" si="0"/>
        <v>13601982</v>
      </c>
      <c r="K29" s="1">
        <f t="shared" si="1"/>
        <v>12033116.5</v>
      </c>
      <c r="L29" s="1">
        <f t="shared" si="2"/>
        <v>25635098.5</v>
      </c>
    </row>
    <row r="30" spans="1:29" x14ac:dyDescent="0.3">
      <c r="I30" s="1" t="s">
        <v>8</v>
      </c>
      <c r="J30" s="1">
        <f t="shared" si="0"/>
        <v>14110995.5</v>
      </c>
      <c r="K30" s="1">
        <f t="shared" si="1"/>
        <v>12765495.5</v>
      </c>
      <c r="L30" s="1">
        <f t="shared" si="2"/>
        <v>26876491</v>
      </c>
    </row>
    <row r="31" spans="1:29" x14ac:dyDescent="0.3">
      <c r="I31" s="1" t="s">
        <v>9</v>
      </c>
      <c r="J31" s="1">
        <f t="shared" si="0"/>
        <v>15737335</v>
      </c>
      <c r="K31" s="1">
        <f t="shared" si="1"/>
        <v>14705252</v>
      </c>
      <c r="L31" s="1">
        <f t="shared" si="2"/>
        <v>30442587</v>
      </c>
    </row>
    <row r="32" spans="1:29" x14ac:dyDescent="0.3">
      <c r="I32" s="1" t="s">
        <v>10</v>
      </c>
      <c r="J32" s="1">
        <f t="shared" si="0"/>
        <v>14879664.5</v>
      </c>
      <c r="K32" s="1">
        <f t="shared" si="1"/>
        <v>14440984</v>
      </c>
      <c r="L32" s="1">
        <f t="shared" si="2"/>
        <v>29320648.5</v>
      </c>
    </row>
    <row r="33" spans="9:12" x14ac:dyDescent="0.3">
      <c r="I33" s="1" t="s">
        <v>11</v>
      </c>
      <c r="J33" s="1">
        <f t="shared" si="0"/>
        <v>13024010.5</v>
      </c>
      <c r="K33" s="1">
        <f t="shared" si="1"/>
        <v>12444686.5</v>
      </c>
      <c r="L33" s="1">
        <f t="shared" si="2"/>
        <v>25468697</v>
      </c>
    </row>
    <row r="34" spans="9:12" x14ac:dyDescent="0.3">
      <c r="I34" s="1" t="s">
        <v>12</v>
      </c>
      <c r="J34" s="1">
        <f t="shared" si="0"/>
        <v>11731558</v>
      </c>
      <c r="K34" s="1">
        <f t="shared" si="1"/>
        <v>11366078</v>
      </c>
      <c r="L34" s="1">
        <f t="shared" si="2"/>
        <v>23097636</v>
      </c>
    </row>
    <row r="35" spans="9:12" x14ac:dyDescent="0.3">
      <c r="I35" s="1" t="s">
        <v>13</v>
      </c>
      <c r="J35" s="1">
        <f t="shared" si="0"/>
        <v>10321600</v>
      </c>
      <c r="K35" s="1">
        <f t="shared" si="1"/>
        <v>9539308</v>
      </c>
      <c r="L35" s="1">
        <f t="shared" si="2"/>
        <v>19860908</v>
      </c>
    </row>
    <row r="36" spans="9:12" x14ac:dyDescent="0.3">
      <c r="I36" s="1" t="s">
        <v>14</v>
      </c>
      <c r="J36" s="1">
        <f t="shared" si="0"/>
        <v>8885629</v>
      </c>
      <c r="K36" s="1">
        <f t="shared" si="1"/>
        <v>8179873.5</v>
      </c>
      <c r="L36" s="1">
        <f t="shared" si="2"/>
        <v>17065502.5</v>
      </c>
    </row>
    <row r="37" spans="9:12" x14ac:dyDescent="0.3">
      <c r="I37" s="1" t="s">
        <v>15</v>
      </c>
      <c r="J37" s="1">
        <f t="shared" si="0"/>
        <v>7165991.5</v>
      </c>
      <c r="K37" s="1">
        <f t="shared" si="1"/>
        <v>6429906.5</v>
      </c>
      <c r="L37" s="1">
        <f t="shared" si="2"/>
        <v>13595898</v>
      </c>
    </row>
    <row r="38" spans="9:12" x14ac:dyDescent="0.3">
      <c r="I38" s="1" t="s">
        <v>16</v>
      </c>
      <c r="J38" s="1">
        <f t="shared" si="0"/>
        <v>5518745</v>
      </c>
      <c r="K38" s="1">
        <f t="shared" si="1"/>
        <v>5067518.5</v>
      </c>
      <c r="L38" s="1">
        <f t="shared" si="2"/>
        <v>10586263.5</v>
      </c>
    </row>
    <row r="39" spans="9:12" x14ac:dyDescent="0.3">
      <c r="I39" s="1" t="s">
        <v>17</v>
      </c>
      <c r="J39" s="1">
        <f t="shared" si="0"/>
        <v>4525013</v>
      </c>
      <c r="K39" s="1">
        <f t="shared" si="1"/>
        <v>4387133</v>
      </c>
      <c r="L39" s="1">
        <f t="shared" si="2"/>
        <v>8912146</v>
      </c>
    </row>
    <row r="40" spans="9:12" x14ac:dyDescent="0.3">
      <c r="I40" s="1" t="s">
        <v>18</v>
      </c>
      <c r="J40" s="1">
        <f t="shared" si="0"/>
        <v>3005643.5</v>
      </c>
      <c r="K40" s="1">
        <f t="shared" si="1"/>
        <v>2975594.5</v>
      </c>
      <c r="L40" s="1">
        <f t="shared" si="2"/>
        <v>5981238</v>
      </c>
    </row>
    <row r="41" spans="9:12" x14ac:dyDescent="0.3">
      <c r="I41" s="1" t="s">
        <v>19</v>
      </c>
      <c r="J41" s="1">
        <f t="shared" si="0"/>
        <v>2260183.5</v>
      </c>
      <c r="K41" s="1">
        <f t="shared" si="1"/>
        <v>2298635</v>
      </c>
      <c r="L41" s="1">
        <f t="shared" si="2"/>
        <v>4558818.5</v>
      </c>
    </row>
    <row r="42" spans="9:12" x14ac:dyDescent="0.3">
      <c r="I42" s="1" t="s">
        <v>20</v>
      </c>
      <c r="J42" s="1">
        <f t="shared" si="0"/>
        <v>2315222</v>
      </c>
      <c r="K42" s="1">
        <f t="shared" si="1"/>
        <v>3470332.5</v>
      </c>
      <c r="L42" s="1">
        <f t="shared" si="2"/>
        <v>5785554.5</v>
      </c>
    </row>
    <row r="43" spans="9:12" x14ac:dyDescent="0.3">
      <c r="I43" s="1" t="s">
        <v>24</v>
      </c>
      <c r="J43" s="1">
        <f>SUM(J27:J42)</f>
        <v>152100186</v>
      </c>
      <c r="K43" s="1">
        <f>SUM(K27:K42)</f>
        <v>142916569</v>
      </c>
      <c r="L43" s="1">
        <f t="shared" si="2"/>
        <v>295016755</v>
      </c>
    </row>
  </sheetData>
  <conditionalFormatting sqref="Q4:Q20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6946-D289-4290-841B-481B3AE9B3D2}">
  <dimension ref="A1:S28"/>
  <sheetViews>
    <sheetView topLeftCell="A7" workbookViewId="0">
      <selection activeCell="B27" sqref="B21:E28"/>
    </sheetView>
  </sheetViews>
  <sheetFormatPr defaultRowHeight="14.4" x14ac:dyDescent="0.3"/>
  <cols>
    <col min="2" max="2" width="14.21875" bestFit="1" customWidth="1"/>
    <col min="3" max="5" width="10" bestFit="1" customWidth="1"/>
  </cols>
  <sheetData>
    <row r="1" spans="1:19" x14ac:dyDescent="0.3">
      <c r="A1" t="s">
        <v>36</v>
      </c>
      <c r="F1" t="s">
        <v>64</v>
      </c>
      <c r="K1" t="s">
        <v>63</v>
      </c>
      <c r="P1" t="s">
        <v>37</v>
      </c>
    </row>
    <row r="3" spans="1:19" x14ac:dyDescent="0.3">
      <c r="A3" t="s">
        <v>51</v>
      </c>
      <c r="B3" t="s">
        <v>34</v>
      </c>
      <c r="C3" t="s">
        <v>35</v>
      </c>
      <c r="D3" t="s">
        <v>46</v>
      </c>
      <c r="F3" t="s">
        <v>51</v>
      </c>
      <c r="G3" t="s">
        <v>34</v>
      </c>
      <c r="H3" t="s">
        <v>35</v>
      </c>
      <c r="I3" t="s">
        <v>46</v>
      </c>
      <c r="K3" t="s">
        <v>51</v>
      </c>
      <c r="L3" t="s">
        <v>34</v>
      </c>
      <c r="M3" t="s">
        <v>35</v>
      </c>
      <c r="N3" t="s">
        <v>46</v>
      </c>
      <c r="P3" t="s">
        <v>51</v>
      </c>
      <c r="Q3" t="s">
        <v>34</v>
      </c>
      <c r="R3" t="s">
        <v>35</v>
      </c>
      <c r="S3" t="s">
        <v>46</v>
      </c>
    </row>
    <row r="4" spans="1:19" x14ac:dyDescent="0.3">
      <c r="A4" t="s">
        <v>21</v>
      </c>
      <c r="B4">
        <v>7922747</v>
      </c>
      <c r="C4">
        <v>7855406</v>
      </c>
      <c r="D4">
        <v>15778153</v>
      </c>
      <c r="F4" t="s">
        <v>60</v>
      </c>
      <c r="G4">
        <v>14782142</v>
      </c>
      <c r="H4">
        <v>13386520</v>
      </c>
      <c r="I4">
        <v>28168662</v>
      </c>
      <c r="K4" t="s">
        <v>59</v>
      </c>
      <c r="L4">
        <v>4280917</v>
      </c>
      <c r="M4">
        <v>3969935</v>
      </c>
      <c r="N4">
        <v>8250852</v>
      </c>
      <c r="P4" t="s">
        <v>62</v>
      </c>
      <c r="Q4">
        <v>9270946</v>
      </c>
      <c r="R4">
        <v>8637373</v>
      </c>
      <c r="S4">
        <v>17908319</v>
      </c>
    </row>
    <row r="5" spans="1:19" x14ac:dyDescent="0.3">
      <c r="A5" t="s">
        <v>25</v>
      </c>
      <c r="B5">
        <v>2975025</v>
      </c>
      <c r="C5">
        <v>2887505</v>
      </c>
      <c r="D5">
        <v>5862530</v>
      </c>
      <c r="F5" t="s">
        <v>61</v>
      </c>
      <c r="G5">
        <v>31653901</v>
      </c>
      <c r="H5">
        <v>29554975</v>
      </c>
      <c r="I5">
        <v>61208876</v>
      </c>
      <c r="K5" t="s">
        <v>46</v>
      </c>
      <c r="L5">
        <v>4280917</v>
      </c>
      <c r="M5">
        <v>3969935</v>
      </c>
      <c r="N5">
        <v>8250852</v>
      </c>
      <c r="Q5">
        <v>9270946</v>
      </c>
      <c r="R5">
        <v>8637373</v>
      </c>
    </row>
    <row r="6" spans="1:19" x14ac:dyDescent="0.3">
      <c r="A6" t="s">
        <v>31</v>
      </c>
      <c r="B6">
        <v>1738066</v>
      </c>
      <c r="C6">
        <v>1585984</v>
      </c>
      <c r="D6">
        <v>3324050</v>
      </c>
      <c r="F6" t="s">
        <v>46</v>
      </c>
      <c r="G6">
        <v>46436043</v>
      </c>
      <c r="H6">
        <v>42941495</v>
      </c>
      <c r="I6">
        <v>89377538</v>
      </c>
    </row>
    <row r="7" spans="1:19" x14ac:dyDescent="0.3">
      <c r="A7" t="s">
        <v>32</v>
      </c>
      <c r="B7">
        <v>5033991</v>
      </c>
      <c r="C7">
        <v>4985404</v>
      </c>
      <c r="D7">
        <v>10019395</v>
      </c>
    </row>
    <row r="8" spans="1:19" x14ac:dyDescent="0.3">
      <c r="A8" t="s">
        <v>33</v>
      </c>
      <c r="B8">
        <v>9871616</v>
      </c>
      <c r="C8">
        <v>9684579</v>
      </c>
      <c r="D8">
        <v>19556195</v>
      </c>
      <c r="P8" t="s">
        <v>38</v>
      </c>
    </row>
    <row r="9" spans="1:19" x14ac:dyDescent="0.3">
      <c r="A9" t="s">
        <v>46</v>
      </c>
      <c r="B9">
        <v>27541445</v>
      </c>
      <c r="C9">
        <v>26998878</v>
      </c>
      <c r="D9">
        <v>54540323</v>
      </c>
    </row>
    <row r="10" spans="1:19" x14ac:dyDescent="0.3">
      <c r="K10" t="s">
        <v>53</v>
      </c>
      <c r="P10" t="s">
        <v>51</v>
      </c>
      <c r="Q10" t="s">
        <v>34</v>
      </c>
      <c r="R10" t="s">
        <v>35</v>
      </c>
      <c r="S10" t="s">
        <v>46</v>
      </c>
    </row>
    <row r="11" spans="1:19" x14ac:dyDescent="0.3">
      <c r="P11" t="s">
        <v>56</v>
      </c>
      <c r="Q11">
        <v>6105012</v>
      </c>
      <c r="R11">
        <v>5876194</v>
      </c>
      <c r="S11">
        <v>11981206</v>
      </c>
    </row>
    <row r="12" spans="1:19" x14ac:dyDescent="0.3">
      <c r="K12" t="s">
        <v>51</v>
      </c>
      <c r="L12" t="s">
        <v>34</v>
      </c>
      <c r="M12" t="s">
        <v>35</v>
      </c>
      <c r="N12" t="s">
        <v>46</v>
      </c>
      <c r="P12" t="s">
        <v>57</v>
      </c>
      <c r="Q12">
        <v>11878264</v>
      </c>
      <c r="R12">
        <v>11884496</v>
      </c>
      <c r="S12">
        <v>23762760</v>
      </c>
    </row>
    <row r="13" spans="1:19" x14ac:dyDescent="0.3">
      <c r="K13" t="s">
        <v>54</v>
      </c>
      <c r="L13">
        <v>5307582</v>
      </c>
      <c r="M13">
        <v>5657477</v>
      </c>
      <c r="N13">
        <v>10965059</v>
      </c>
      <c r="P13" t="s">
        <v>58</v>
      </c>
      <c r="Q13">
        <v>13657989</v>
      </c>
      <c r="R13">
        <v>12649689</v>
      </c>
      <c r="S13">
        <v>26307678</v>
      </c>
    </row>
    <row r="14" spans="1:19" x14ac:dyDescent="0.3">
      <c r="K14" t="s">
        <v>55</v>
      </c>
      <c r="L14">
        <v>27621988</v>
      </c>
      <c r="M14">
        <v>24301032</v>
      </c>
      <c r="N14">
        <v>51923020</v>
      </c>
      <c r="Q14">
        <v>31641265</v>
      </c>
      <c r="R14">
        <v>30410379</v>
      </c>
      <c r="S14">
        <v>62051644</v>
      </c>
    </row>
    <row r="15" spans="1:19" x14ac:dyDescent="0.3">
      <c r="K15" t="s">
        <v>46</v>
      </c>
      <c r="L15">
        <v>32929570</v>
      </c>
      <c r="M15">
        <v>29958509</v>
      </c>
      <c r="N15">
        <v>62888079</v>
      </c>
    </row>
    <row r="21" spans="2:5" x14ac:dyDescent="0.3">
      <c r="B21" s="1" t="s">
        <v>50</v>
      </c>
      <c r="C21" s="1" t="s">
        <v>34</v>
      </c>
      <c r="D21" s="1" t="s">
        <v>35</v>
      </c>
      <c r="E21" s="1" t="s">
        <v>46</v>
      </c>
    </row>
    <row r="22" spans="2:5" x14ac:dyDescent="0.3">
      <c r="B22" s="1" t="s">
        <v>42</v>
      </c>
      <c r="C22" s="1">
        <f>L5</f>
        <v>4280917</v>
      </c>
      <c r="D22" s="1">
        <f>M5</f>
        <v>3969935</v>
      </c>
      <c r="E22" s="1">
        <f>C22+D22</f>
        <v>8250852</v>
      </c>
    </row>
    <row r="23" spans="2:5" x14ac:dyDescent="0.3">
      <c r="B23" s="1" t="s">
        <v>43</v>
      </c>
      <c r="C23" s="1">
        <f>Q5</f>
        <v>9270946</v>
      </c>
      <c r="D23" s="1">
        <f>R5</f>
        <v>8637373</v>
      </c>
      <c r="E23" s="1">
        <f t="shared" ref="E23:E28" si="0">C23+D23</f>
        <v>17908319</v>
      </c>
    </row>
    <row r="24" spans="2:5" x14ac:dyDescent="0.3">
      <c r="B24" s="1" t="s">
        <v>40</v>
      </c>
      <c r="C24" s="1">
        <f>B9</f>
        <v>27541445</v>
      </c>
      <c r="D24" s="1">
        <f>C9</f>
        <v>26998878</v>
      </c>
      <c r="E24" s="1">
        <f t="shared" si="0"/>
        <v>54540323</v>
      </c>
    </row>
    <row r="25" spans="2:5" x14ac:dyDescent="0.3">
      <c r="B25" s="1" t="s">
        <v>45</v>
      </c>
      <c r="C25" s="1">
        <f>L15</f>
        <v>32929570</v>
      </c>
      <c r="D25" s="1">
        <f>M15</f>
        <v>29958509</v>
      </c>
      <c r="E25" s="1">
        <f t="shared" si="0"/>
        <v>62888079</v>
      </c>
    </row>
    <row r="26" spans="2:5" x14ac:dyDescent="0.3">
      <c r="B26" s="1" t="s">
        <v>44</v>
      </c>
      <c r="C26" s="1">
        <f>Q14</f>
        <v>31641265</v>
      </c>
      <c r="D26" s="1">
        <f>R14</f>
        <v>30410379</v>
      </c>
      <c r="E26" s="1">
        <f t="shared" si="0"/>
        <v>62051644</v>
      </c>
    </row>
    <row r="27" spans="2:5" x14ac:dyDescent="0.3">
      <c r="B27" s="1" t="s">
        <v>41</v>
      </c>
      <c r="C27" s="1">
        <f>G6</f>
        <v>46436043</v>
      </c>
      <c r="D27" s="1">
        <f>H6</f>
        <v>42941495</v>
      </c>
      <c r="E27" s="1">
        <f t="shared" si="0"/>
        <v>89377538</v>
      </c>
    </row>
    <row r="28" spans="2:5" x14ac:dyDescent="0.3">
      <c r="B28" s="1" t="s">
        <v>46</v>
      </c>
      <c r="C28" s="1">
        <f>SUM(C22:C27)</f>
        <v>152100186</v>
      </c>
      <c r="D28" s="1">
        <f>SUM(D22:D27)</f>
        <v>142916569</v>
      </c>
      <c r="E28" s="1">
        <f t="shared" si="0"/>
        <v>295016755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NORTH EAST ZONE</vt:lpstr>
      <vt:lpstr>WEST ZONE</vt:lpstr>
      <vt:lpstr>CENTRAL ZONE</vt:lpstr>
      <vt:lpstr>EAST ZONE </vt:lpstr>
      <vt:lpstr>SOUTH ZONE</vt:lpstr>
      <vt:lpstr>North Zone</vt:lpstr>
      <vt:lpstr>Sheet1</vt:lpstr>
      <vt:lpstr>Final Calc</vt:lpstr>
      <vt:lpstr>Sheet2</vt:lpstr>
      <vt:lpstr>zone based testing</vt:lpstr>
      <vt:lpstr>Gender based testing</vt:lpstr>
      <vt:lpstr>Correlation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Dhari Singh</cp:lastModifiedBy>
  <dcterms:created xsi:type="dcterms:W3CDTF">2025-11-18T19:00:43Z</dcterms:created>
  <dcterms:modified xsi:type="dcterms:W3CDTF">2025-12-12T18:43:40Z</dcterms:modified>
</cp:coreProperties>
</file>